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Instrucciones" sheetId="1" state="visible" r:id="rId1"/>
    <sheet name="Resumen" sheetId="2" state="visible" r:id="rId2"/>
    <sheet name="Configuración" sheetId="3" state="visible" r:id="rId3"/>
    <sheet name="Ingresos" sheetId="4" state="visible" r:id="rId4"/>
    <sheet name="Gastos" sheetId="5" state="visible" r:id="rId5"/>
    <sheet name="Deudas" sheetId="6" state="visible" r:id="rId6"/>
    <sheet name="Abonos a Deudas" sheetId="7" state="visible" r:id="rId7"/>
    <sheet name="Ahorro e Inversión" sheetId="8" state="visible" r:id="rId8"/>
    <sheet name="Tendencia" sheetId="9" state="visible" r:id="rId9"/>
    <sheet name="Principios" sheetId="10" state="visible" r:id="rId10"/>
  </sheets>
  <definedNames>
    <definedName name="Frases">Principios!$B$22:$B$36</definedName>
    <definedName name="Frases_Fuente">Principios!$C$22:$C$36</definedName>
    <definedName name="Nombre">'Configuración'!$B$4</definedName>
    <definedName name="Frecuencia">'Configuración'!$B$5</definedName>
    <definedName name="Mes_Analisis">'Configuración'!$B$7</definedName>
    <definedName name="Pct_Ahorro">'Configuración'!$B$8</definedName>
    <definedName name="Pct_Deuda">'Configuración'!$B$9</definedName>
    <definedName name="Pct_Vida">'Configuración'!$B$10</definedName>
    <definedName name="Deuda_Fija">'Configuración'!$B$11</definedName>
    <definedName name="Meses_Emergencia">'Configuración'!$B$12</definedName>
    <definedName name="Lista_Categorias">'Configuración'!$A$16:$A$35</definedName>
    <definedName name="Cat_Tipo">'Configuración'!$B$16:$B$35</definedName>
    <definedName name="Cat_Presupuesto">'Configuración'!$C$16:$C$35</definedName>
    <definedName name="Lista_Fuentes">'Configuración'!$E$16:$E$25</definedName>
    <definedName name="Lista_TiposDeuda">'Configuración'!$F$16:$F$25</definedName>
    <definedName name="Lista_Destinos">'Configuración'!$G$16:$G$25</definedName>
    <definedName name="Lista_Metodos">'Configuración'!$H$16:$H$25</definedName>
    <definedName name="Lista_Deudas">Deudas!$A$9:$A$23</definedName>
    <definedName name="_xlnm._FilterDatabase" localSheetId="3" hidden="1">'Ingresos'!$A$4:$F$304</definedName>
    <definedName name="_xlnm._FilterDatabase" localSheetId="4" hidden="1">'Gastos'!$A$4:$H$1004</definedName>
    <definedName name="_xlnm._FilterDatabase" localSheetId="6" hidden="1">'Abonos a Deudas'!$A$4:$E$304</definedName>
    <definedName name="_xlnm._FilterDatabase" localSheetId="7" hidden="1">'Ahorro e Inversión'!$A$4:$E$304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dd/mm/yyyy"/>
    <numFmt numFmtId="165" formatCode="mmmm yyyy"/>
    <numFmt numFmtId="166" formatCode="&quot;$&quot;#,##0.00;[Red]-&quot;$&quot;#,##0.00;&quot;-&quot;"/>
    <numFmt numFmtId="167" formatCode="yyyy-mm-dd"/>
    <numFmt numFmtId="168" formatCode="mmm yyyy"/>
    <numFmt numFmtId="169" formatCode="0.0%"/>
    <numFmt numFmtId="170" formatCode="0.0000"/>
    <numFmt numFmtId="171" formatCode="0.0"/>
    <numFmt numFmtId="172" formatCode="0.0%;[Red]-0.0%;&quot;-&quot;"/>
  </numFmts>
  <fonts count="20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7F6000"/>
      <sz val="10"/>
    </font>
    <font>
      <name val="Arial"/>
      <b val="1"/>
      <color rgb="001F3864"/>
      <sz val="12"/>
    </font>
    <font>
      <name val="Arial"/>
      <b val="1"/>
      <sz val="10"/>
    </font>
    <font>
      <name val="Arial"/>
      <sz val="10"/>
    </font>
    <font>
      <name val="Arial"/>
      <b val="1"/>
      <color rgb="000000FF"/>
      <sz val="10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i val="1"/>
      <sz val="10"/>
    </font>
    <font>
      <name val="Arial"/>
      <color rgb="007F7F7F"/>
      <sz val="10"/>
    </font>
    <font>
      <name val="Arial"/>
      <i val="1"/>
      <color rgb="007F7F7F"/>
      <sz val="8"/>
    </font>
    <font>
      <name val="Arial"/>
      <color rgb="000000FF"/>
      <sz val="10"/>
    </font>
    <font>
      <name val="Arial"/>
      <i val="1"/>
      <color rgb="007F7F7F"/>
      <sz val="9"/>
    </font>
    <font>
      <name val="Arial"/>
      <b val="1"/>
      <color rgb="007F6000"/>
      <sz val="10"/>
    </font>
    <font>
      <name val="Arial"/>
      <sz val="9"/>
    </font>
    <font>
      <name val="Arial"/>
      <b val="1"/>
      <color rgb="00FFFFFF"/>
      <sz val="9"/>
    </font>
    <font>
      <name val="Arial"/>
      <b val="1"/>
      <color rgb="001F3864"/>
      <sz val="14"/>
    </font>
    <font>
      <name val="Arial"/>
      <b val="1"/>
      <color rgb="00C00000"/>
      <sz val="10"/>
    </font>
    <font>
      <name val="Arial"/>
      <i val="1"/>
      <color rgb="00C00000"/>
      <sz val="8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BF6E9"/>
        <bgColor rgb="00FBF6E9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  <fill>
      <patternFill patternType="solid">
        <fgColor rgb="00C9A227"/>
        <bgColor rgb="00C9A227"/>
      </patternFill>
    </fill>
  </fills>
  <borders count="6">
    <border>
      <left/>
      <right/>
      <top/>
      <bottom/>
      <diagonal/>
    </border>
    <border>
      <bottom style="medium">
        <color rgb="00C9A227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/>
    </xf>
    <xf numFmtId="0" fontId="4" fillId="5" borderId="0" applyAlignment="1" pivotButton="0" quotePrefix="0" xfId="0">
      <alignment vertical="top"/>
    </xf>
    <xf numFmtId="0" fontId="16" fillId="2" borderId="0" applyAlignment="1" pivotButton="0" quotePrefix="0" xfId="0">
      <alignment horizontal="center" wrapText="1"/>
    </xf>
    <xf numFmtId="0" fontId="16" fillId="6" borderId="0" applyAlignment="1" pivotButton="0" quotePrefix="0" xfId="0">
      <alignment horizontal="center" wrapText="1"/>
    </xf>
    <xf numFmtId="0" fontId="8" fillId="0" borderId="0" pivotButton="0" quotePrefix="0" xfId="0"/>
    <xf numFmtId="166" fontId="17" fillId="3" borderId="2" applyAlignment="1" pivotButton="0" quotePrefix="0" xfId="0">
      <alignment horizontal="center"/>
    </xf>
    <xf numFmtId="0" fontId="18" fillId="0" borderId="0" applyAlignment="1" pivotButton="0" quotePrefix="0" xfId="0">
      <alignment vertical="center" wrapText="1"/>
    </xf>
    <xf numFmtId="0" fontId="3" fillId="0" borderId="0" pivotButton="0" quotePrefix="0" xfId="0"/>
    <xf numFmtId="0" fontId="7" fillId="2" borderId="2" applyAlignment="1" pivotButton="0" quotePrefix="0" xfId="0">
      <alignment horizontal="center" vertical="center" wrapText="1"/>
    </xf>
    <xf numFmtId="0" fontId="5" fillId="0" borderId="2" pivotButton="0" quotePrefix="0" xfId="0"/>
    <xf numFmtId="9" fontId="5" fillId="0" borderId="2" applyAlignment="1" pivotButton="0" quotePrefix="0" xfId="0">
      <alignment horizontal="center"/>
    </xf>
    <xf numFmtId="166" fontId="5" fillId="0" borderId="2" pivotButton="0" quotePrefix="0" xfId="0"/>
    <xf numFmtId="0" fontId="4" fillId="3" borderId="2" pivotButton="0" quotePrefix="0" xfId="0"/>
    <xf numFmtId="9" fontId="4" fillId="3" borderId="2" applyAlignment="1" pivotButton="0" quotePrefix="0" xfId="0">
      <alignment horizontal="center"/>
    </xf>
    <xf numFmtId="166" fontId="4" fillId="3" borderId="2" pivotButton="0" quotePrefix="0" xfId="0"/>
    <xf numFmtId="0" fontId="4" fillId="0" borderId="2" pivotButton="0" quotePrefix="0" xfId="0"/>
    <xf numFmtId="0" fontId="5" fillId="5" borderId="2" applyAlignment="1" pivotButton="0" quotePrefix="0" xfId="0">
      <alignment horizontal="center"/>
    </xf>
    <xf numFmtId="0" fontId="5" fillId="5" borderId="2" pivotButton="0" quotePrefix="0" xfId="0"/>
    <xf numFmtId="172" fontId="4" fillId="0" borderId="2" pivotButton="0" quotePrefix="0" xfId="0"/>
    <xf numFmtId="172" fontId="5" fillId="5" borderId="2" applyAlignment="1" pivotButton="0" quotePrefix="0" xfId="0">
      <alignment horizontal="center"/>
    </xf>
    <xf numFmtId="166" fontId="4" fillId="0" borderId="2" pivotButton="0" quotePrefix="0" xfId="0"/>
    <xf numFmtId="166" fontId="5" fillId="5" borderId="2" applyAlignment="1" pivotButton="0" quotePrefix="0" xfId="0">
      <alignment horizontal="center"/>
    </xf>
    <xf numFmtId="166" fontId="5" fillId="5" borderId="2" pivotButton="0" quotePrefix="0" xfId="0"/>
    <xf numFmtId="171" fontId="4" fillId="0" borderId="2" pivotButton="0" quotePrefix="0" xfId="0"/>
    <xf numFmtId="171" fontId="5" fillId="5" borderId="2" applyAlignment="1" pivotButton="0" quotePrefix="0" xfId="0">
      <alignment horizontal="center"/>
    </xf>
    <xf numFmtId="171" fontId="5" fillId="5" borderId="2" pivotButton="0" quotePrefix="0" xfId="0"/>
    <xf numFmtId="165" fontId="4" fillId="0" borderId="2" pivotButton="0" quotePrefix="0" xfId="0"/>
    <xf numFmtId="165" fontId="5" fillId="5" borderId="2" applyAlignment="1" pivotButton="0" quotePrefix="0" xfId="0">
      <alignment horizontal="center"/>
    </xf>
    <xf numFmtId="0" fontId="11" fillId="0" borderId="0" pivotButton="0" quotePrefix="0" xfId="0"/>
    <xf numFmtId="0" fontId="19" fillId="0" borderId="0" pivotButton="0" quotePrefix="0" xfId="0"/>
    <xf numFmtId="0" fontId="12" fillId="4" borderId="2" applyAlignment="1" pivotButton="0" quotePrefix="0" xfId="0">
      <alignment horizontal="center"/>
    </xf>
    <xf numFmtId="164" fontId="12" fillId="4" borderId="2" applyAlignment="1" pivotButton="0" quotePrefix="0" xfId="0">
      <alignment horizontal="center"/>
    </xf>
    <xf numFmtId="9" fontId="12" fillId="4" borderId="2" applyAlignment="1" pivotButton="0" quotePrefix="0" xfId="0">
      <alignment horizontal="center"/>
    </xf>
    <xf numFmtId="9" fontId="5" fillId="5" borderId="2" applyAlignment="1" pivotButton="0" quotePrefix="0" xfId="0">
      <alignment horizontal="center"/>
    </xf>
    <xf numFmtId="166" fontId="12" fillId="4" borderId="2" applyAlignment="1" pivotButton="0" quotePrefix="0" xfId="0">
      <alignment horizontal="center"/>
    </xf>
    <xf numFmtId="1" fontId="12" fillId="4" borderId="2" applyAlignment="1" pivotButton="0" quotePrefix="0" xfId="0">
      <alignment horizontal="center"/>
    </xf>
    <xf numFmtId="0" fontId="7" fillId="6" borderId="2" applyAlignment="1" pivotButton="0" quotePrefix="0" xfId="0">
      <alignment horizontal="center" wrapText="1"/>
    </xf>
    <xf numFmtId="0" fontId="12" fillId="4" borderId="2" pivotButton="0" quotePrefix="0" xfId="0"/>
    <xf numFmtId="166" fontId="12" fillId="4" borderId="2" pivotButton="0" quotePrefix="0" xfId="0"/>
    <xf numFmtId="0" fontId="4" fillId="0" borderId="0" pivotButton="0" quotePrefix="0" xfId="0"/>
    <xf numFmtId="166" fontId="4" fillId="5" borderId="0" pivotButton="0" quotePrefix="0" xfId="0"/>
    <xf numFmtId="164" fontId="12" fillId="4" borderId="2" pivotButton="0" quotePrefix="0" xfId="0"/>
    <xf numFmtId="168" fontId="5" fillId="5" borderId="2" applyAlignment="1" pivotButton="0" quotePrefix="0" xfId="0">
      <alignment horizontal="center"/>
    </xf>
    <xf numFmtId="0" fontId="13" fillId="0" borderId="0" applyAlignment="1" pivotButton="0" quotePrefix="0" xfId="0">
      <alignment vertical="top" wrapText="1"/>
    </xf>
    <xf numFmtId="166" fontId="4" fillId="5" borderId="2" pivotButton="0" quotePrefix="0" xfId="0"/>
    <xf numFmtId="0" fontId="14" fillId="0" borderId="0" applyAlignment="1" pivotButton="0" quotePrefix="0" xfId="0">
      <alignment vertical="center" wrapText="1"/>
    </xf>
    <xf numFmtId="169" fontId="12" fillId="4" borderId="2" pivotButton="0" quotePrefix="0" xfId="0"/>
    <xf numFmtId="1" fontId="5" fillId="5" borderId="2" applyAlignment="1" pivotButton="0" quotePrefix="0" xfId="0">
      <alignment horizontal="center"/>
    </xf>
    <xf numFmtId="170" fontId="5" fillId="5" borderId="2" pivotButton="0" quotePrefix="0" xfId="0"/>
    <xf numFmtId="0" fontId="7" fillId="2" borderId="2" pivotButton="0" quotePrefix="0" xfId="0"/>
    <xf numFmtId="166" fontId="7" fillId="2" borderId="2" pivotButton="0" quotePrefix="0" xfId="0"/>
    <xf numFmtId="168" fontId="7" fillId="2" borderId="2" pivotButton="0" quotePrefix="0" xfId="0"/>
    <xf numFmtId="0" fontId="0" fillId="0" borderId="5" pivotButton="0" quotePrefix="0" xfId="0"/>
    <xf numFmtId="0" fontId="15" fillId="0" borderId="0" pivotButton="0" quotePrefix="0" xfId="0"/>
    <xf numFmtId="172" fontId="4" fillId="3" borderId="2" applyAlignment="1" pivotButton="0" quotePrefix="0" xfId="0">
      <alignment horizontal="center"/>
    </xf>
    <xf numFmtId="0" fontId="8" fillId="0" borderId="2" applyAlignment="1" pivotButton="0" quotePrefix="0" xfId="0">
      <alignment vertical="top" wrapText="1"/>
    </xf>
    <xf numFmtId="0" fontId="5" fillId="0" borderId="2" applyAlignment="1" pivotButton="0" quotePrefix="0" xfId="0">
      <alignment vertical="top" wrapText="1"/>
    </xf>
    <xf numFmtId="0" fontId="9" fillId="0" borderId="2" applyAlignment="1" pivotButton="0" quotePrefix="0" xfId="0">
      <alignment wrapText="1"/>
    </xf>
    <xf numFmtId="0" fontId="10" fillId="0" borderId="2" pivotButton="0" quotePrefix="0" xfId="0"/>
  </cellXfs>
  <cellStyles count="1">
    <cellStyle name="Normal" xfId="0" builtinId="0" hidden="0"/>
  </cellStyles>
  <dxfs count="7">
    <dxf>
      <fill>
        <patternFill patternType="solid">
          <fgColor rgb="00F8CBAD"/>
          <bgColor rgb="00F8CBAD"/>
        </patternFill>
      </fill>
    </dxf>
    <dxf>
      <font>
        <name val="Arial"/>
        <b val="1"/>
        <color rgb="00C00000"/>
      </font>
    </dxf>
    <dxf>
      <font>
        <name val="Arial"/>
        <b val="1"/>
        <color rgb="0000803C"/>
      </font>
    </dxf>
    <dxf>
      <font>
        <name val="Arial"/>
        <b val="1"/>
        <color rgb="009C0006"/>
      </font>
      <fill>
        <patternFill patternType="solid">
          <fgColor rgb="00F8CBAD"/>
          <bgColor rgb="00F8CBAD"/>
        </patternFill>
      </fill>
    </dxf>
    <dxf>
      <fill>
        <patternFill patternType="solid">
          <fgColor rgb="00FFEB9C"/>
          <bgColor rgb="00FFEB9C"/>
        </patternFill>
      </fill>
    </dxf>
    <dxf>
      <font>
        <name val="Arial"/>
        <b val="1"/>
      </font>
      <fill>
        <patternFill patternType="solid">
          <fgColor rgb="00FCE4D6"/>
          <bgColor rgb="00FCE4D6"/>
        </patternFill>
      </fill>
    </dxf>
    <dxf>
      <fill>
        <patternFill patternType="solid">
          <fgColor rgb="00E2EFDA"/>
          <bgColor rgb="00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Regla de Babilonia: presupuesto vs real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'Resumen'!D9</f>
            </strRef>
          </tx>
          <spPr>
            <a:solidFill>
              <a:srgbClr val="1F3864"/>
            </a:solidFill>
            <a:ln>
              <a:prstDash val="solid"/>
            </a:ln>
          </spPr>
          <cat>
            <numRef>
              <f>'Resumen'!$B$10:$B$12</f>
            </numRef>
          </cat>
          <val>
            <numRef>
              <f>'Resumen'!$D$10:$D$12</f>
            </numRef>
          </val>
        </ser>
        <ser>
          <idx val="1"/>
          <order val="1"/>
          <tx>
            <strRef>
              <f>'Resumen'!E9</f>
            </strRef>
          </tx>
          <spPr>
            <a:solidFill>
              <a:srgbClr val="C9A227"/>
            </a:solidFill>
            <a:ln>
              <a:prstDash val="solid"/>
            </a:ln>
          </spPr>
          <cat>
            <numRef>
              <f>'Resumen'!$B$10:$B$12</f>
            </numRef>
          </cat>
          <val>
            <numRef>
              <f>'Resumen'!$E$10:$E$12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&quot;$&quot;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Gasto real por categoría</a:t>
            </a:r>
          </a:p>
        </rich>
      </tx>
    </title>
    <plotArea>
      <pieChart>
        <varyColors val="1"/>
        <ser>
          <idx val="0"/>
          <order val="0"/>
          <tx>
            <strRef>
              <f>'Resumen'!E31</f>
            </strRef>
          </tx>
          <spPr>
            <a:ln>
              <a:prstDash val="solid"/>
            </a:ln>
          </spPr>
          <cat>
            <numRef>
              <f>'Resumen'!$B$32:$B$51</f>
            </numRef>
          </cat>
          <val>
            <numRef>
              <f>'Resumen'!$E$32:$E$51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Ingresos, gastos y ahorro por mes</a:t>
            </a:r>
          </a:p>
        </rich>
      </tx>
    </title>
    <plotArea>
      <lineChart>
        <grouping val="standard"/>
        <ser>
          <idx val="0"/>
          <order val="0"/>
          <tx>
            <strRef>
              <f>'Tendencia'!B4</f>
            </strRef>
          </tx>
          <spPr>
            <a:ln w="28000">
              <a:solidFill>
                <a:srgbClr val="1F386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'Tendencia'!$A$5:$A$16</f>
            </numRef>
          </cat>
          <val>
            <numRef>
              <f>'Tendencia'!$B$5:$B$16</f>
            </numRef>
          </val>
          <smooth val="0"/>
        </ser>
        <ser>
          <idx val="1"/>
          <order val="1"/>
          <tx>
            <strRef>
              <f>'Tendencia'!C4</f>
            </strRef>
          </tx>
          <spPr>
            <a:ln w="28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'Tendencia'!$A$5:$A$16</f>
            </numRef>
          </cat>
          <val>
            <numRef>
              <f>'Tendencia'!$C$5:$C$16</f>
            </numRef>
          </val>
          <smooth val="0"/>
        </ser>
        <ser>
          <idx val="2"/>
          <order val="2"/>
          <tx>
            <strRef>
              <f>'Tendencia'!D4</f>
            </strRef>
          </tx>
          <spPr>
            <a:ln w="28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'Tendencia'!$A$5:$A$16</f>
            </numRef>
          </cat>
          <val>
            <numRef>
              <f>'Tendencia'!$D$5:$D$16</f>
            </numRef>
          </val>
          <smooth val="0"/>
        </ser>
        <ser>
          <idx val="3"/>
          <order val="3"/>
          <tx>
            <strRef>
              <f>'Tendencia'!E4</f>
            </strRef>
          </tx>
          <spPr>
            <a:ln w="28000">
              <a:solidFill>
                <a:srgbClr val="C9A22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'Tendencia'!$A$5:$A$16</f>
            </numRef>
          </cat>
          <val>
            <numRef>
              <f>'Tendencia'!$E$5:$E$16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m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&quot;$&quot;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Plantilla</author>
  </authors>
  <commentList>
    <comment ref="B6" authorId="0" shapeId="0">
      <text>
        <t>Escribe cualquier fecha del mes que quieras revisar (ej. 15/08/2026). Déjalo vacío para ver el mes actual.</t>
      </text>
    </comment>
    <comment ref="B11" authorId="0" shapeId="0">
      <text>
        <t>Opcional. Si quieres destinar una cantidad fija a deudas en lugar del porcentaje, escríbela aquí.</t>
      </text>
    </comment>
  </commentList>
</comments>
</file>

<file path=xl/comments/comment2.xml><?xml version="1.0" encoding="utf-8"?>
<comments xmlns="http://schemas.openxmlformats.org/spreadsheetml/2006/main">
  <authors>
    <author>Plantilla</author>
  </authors>
  <commentList>
    <comment ref="D9" authorId="0" shapeId="0">
      <text>
        <t>Tasa ANUAL (CAT o tasa de interés) como porcentaje: 62% para una tarjeta típica. Préstamos familiares: 0%.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29</row>
      <rowOff>0</rowOff>
    </from>
    <ext cx="540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86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H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0" customWidth="1" min="3" max="3"/>
  </cols>
  <sheetData>
    <row r="1" ht="34" customHeight="1">
      <c r="A1" s="1" t="inlineStr">
        <is>
          <t>PLANTILLA DE LIBERTAD FINANCIERA</t>
        </is>
      </c>
    </row>
    <row r="2">
      <c r="A2" s="2" t="inlineStr">
        <is>
          <t>Controla tus gastos · Elimina tus deudas · Págate primero · Compra activos</t>
        </is>
      </c>
    </row>
    <row r="4">
      <c r="B4" s="3" t="inlineStr">
        <is>
          <t>CÓMO USARLA</t>
        </is>
      </c>
      <c r="C4" s="4" t="n"/>
    </row>
    <row r="5">
      <c r="B5" s="5" t="inlineStr">
        <is>
          <t>1. Configuración</t>
        </is>
      </c>
      <c r="C5" s="6" t="inlineStr">
        <is>
          <t>Escribe tu nombre, elige si controlarás tus gastos Diario, Semanal o Mensual y ajusta los porcentajes (por defecto la regla de Babilonia 10/20/70). Ajusta tus categorías y su presupuesto mensual.</t>
        </is>
      </c>
    </row>
    <row r="6">
      <c r="B6" s="5" t="inlineStr">
        <is>
          <t>2. Ingresos</t>
        </is>
      </c>
      <c r="C6" s="6" t="inlineStr">
        <is>
          <t>Registra cada ingreso: sueldo, ganancia de tu negocio, freelance o ingreso pasivo (rendimientos, rentas, dividendos).</t>
        </is>
      </c>
    </row>
    <row r="7">
      <c r="B7" s="5" t="inlineStr">
        <is>
          <t>3. Gastos</t>
        </is>
      </c>
      <c r="C7" s="6" t="inlineStr">
        <is>
          <t>Anota cada gasto el día que lo haces (o junta tus tickets y captúralos una vez por semana). Todo se resta automáticamente de tu ingreso.</t>
        </is>
      </c>
    </row>
    <row r="8">
      <c r="B8" s="5" t="inlineStr">
        <is>
          <t>4. Deudas</t>
        </is>
      </c>
      <c r="C8" s="6" t="inlineStr">
        <is>
          <t>Da de alta cada deuda con su saldo, tasa de interés ANUAL y pago mínimo. La plantilla las ordena sola: primero las que cobran intereses (tarjetas de crédito, la tasa más alta primero) y después los préstamos familiares sin intereses.</t>
        </is>
      </c>
    </row>
    <row r="9">
      <c r="B9" s="5" t="inlineStr">
        <is>
          <t>5. Abonos a Deudas</t>
        </is>
      </c>
      <c r="C9" s="6" t="inlineStr">
        <is>
          <t>Cada vez que pagues una deuda, regístralo aquí. El saldo de la deuda baja automáticamente.</t>
        </is>
      </c>
    </row>
    <row r="10">
      <c r="B10" s="5" t="inlineStr">
        <is>
          <t>6. Ahorro e Inversión</t>
        </is>
      </c>
      <c r="C10" s="6" t="inlineStr">
        <is>
          <t>Registra lo que te 'pagas primero': fondo de emergencia, inversiones, negocio, educación financiera. Si un activo te genera ingreso, regístralo en Ingresos como 'Ingreso pasivo'.</t>
        </is>
      </c>
    </row>
    <row r="11">
      <c r="B11" s="5" t="inlineStr">
        <is>
          <t>7. Resumen</t>
        </is>
      </c>
      <c r="C11" s="6" t="inlineStr">
        <is>
          <t>Tu tablero del mes: cuánto llevas gastado contra tu presupuesto del periodo, semáforo, avance del fondo de emergencia, índice de libertad financiera y fecha estimada para quedar libre de deudas.</t>
        </is>
      </c>
    </row>
    <row r="12">
      <c r="B12" s="5" t="inlineStr">
        <is>
          <t>8. Tendencia</t>
        </is>
      </c>
      <c r="C12" s="6" t="inlineStr">
        <is>
          <t>Tu evolución mes a mes durante el año.</t>
        </is>
      </c>
    </row>
    <row r="13">
      <c r="B13" s="5" t="inlineStr"/>
      <c r="C13" s="6" t="n"/>
    </row>
    <row r="14">
      <c r="B14" s="3" t="inlineStr">
        <is>
          <t>LEYENDA DE CELDAS</t>
        </is>
      </c>
      <c r="C14" s="4" t="n"/>
    </row>
    <row r="15">
      <c r="B15" s="5" t="inlineStr">
        <is>
          <t>Amarillo / texto azul</t>
        </is>
      </c>
      <c r="C15" s="6" t="inlineStr">
        <is>
          <t>Celdas que TÚ llenas (datos de entrada).</t>
        </is>
      </c>
    </row>
    <row r="16">
      <c r="B16" s="7" t="inlineStr">
        <is>
          <t>Gris / texto negro</t>
        </is>
      </c>
      <c r="C16" s="6" t="inlineStr">
        <is>
          <t>Fórmulas automáticas. No las borres.</t>
        </is>
      </c>
    </row>
    <row r="17">
      <c r="B17" s="8" t="inlineStr">
        <is>
          <t>Datos de ejemplo</t>
        </is>
      </c>
      <c r="C17" s="6" t="inlineStr">
        <is>
          <t>La plantilla trae datos de ejemplo de septiembre 2026 para que veas cómo funciona. Bórralos (solo las celdas amarillas) antes de empezar con tus datos.</t>
        </is>
      </c>
    </row>
    <row r="18">
      <c r="B18" s="5" t="inlineStr"/>
      <c r="C18" s="6" t="n"/>
    </row>
    <row r="19">
      <c r="B19" s="3" t="inlineStr">
        <is>
          <t>TIPS</t>
        </is>
      </c>
      <c r="C19" s="4" t="n"/>
    </row>
    <row r="20">
      <c r="B20" s="5" t="inlineStr">
        <is>
          <t>Fechas</t>
        </is>
      </c>
      <c r="C20" s="6" t="inlineStr">
        <is>
          <t>Escribe las fechas como dd/mm/aaaa. Las columnas 'Mes' y 'Semana' se calculan solas.</t>
        </is>
      </c>
    </row>
    <row r="21">
      <c r="B21" s="5" t="inlineStr">
        <is>
          <t>Filas</t>
        </is>
      </c>
      <c r="C21" s="6" t="inlineStr">
        <is>
          <t>Gastos admite 1,000 registros; Ingresos, Abonos y Ahorro 300 cada uno; Deudas 15; Categorías 20.</t>
        </is>
      </c>
    </row>
    <row r="22">
      <c r="B22" s="5" t="inlineStr">
        <is>
          <t>Mes a analizar</t>
        </is>
      </c>
      <c r="C22" s="6" t="inlineStr">
        <is>
          <t>Por defecto el Resumen muestra el mes actual. Para revisar otro mes, escribe cualquier fecha de ese mes en Configuración.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Q5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16" customWidth="1" min="4" max="4"/>
    <col width="16" customWidth="1" min="5" max="5"/>
    <col width="34" customWidth="1" min="6" max="6"/>
    <col width="24" customWidth="1" min="7" max="7"/>
    <col width="3" customWidth="1" min="8" max="8"/>
    <col width="34" customWidth="1" min="9" max="9"/>
    <col width="16" customWidth="1" min="10" max="10"/>
  </cols>
  <sheetData>
    <row r="1" ht="34" customHeight="1">
      <c r="A1" s="1">
        <f>"TABLERO DE LIBERTAD FINANCIERA · "&amp;UPPER(TEXT(Mes_Analisis,"mmmm yyyy"))&amp;IF(OR(Nombre="",Nombre="Tu nombre"),""," · "&amp;Nombre)</f>
        <v/>
      </c>
    </row>
    <row r="2">
      <c r="A2" s="2">
        <f>"💬 “"&amp;INDEX(Frases,MOD(DAY(TODAY())-1,ROWS(Frases))+1)&amp;"” — "&amp;INDEX(Frases_Fuente,MOD(DAY(TODAY())-1,ROWS(Frases))+1)</f>
        <v/>
      </c>
    </row>
    <row r="5">
      <c r="B5" s="9" t="inlineStr">
        <is>
          <t>Ingresos del mes</t>
        </is>
      </c>
      <c r="C5" s="9" t="inlineStr">
        <is>
          <t>Gastos de vida</t>
        </is>
      </c>
      <c r="D5" s="9" t="inlineStr">
        <is>
          <t>Abonos a deudas</t>
        </is>
      </c>
      <c r="E5" s="9" t="inlineStr">
        <is>
          <t>Ahorro e inversión</t>
        </is>
      </c>
      <c r="F5" s="10" t="inlineStr">
        <is>
          <t>Disponible</t>
        </is>
      </c>
      <c r="G5" s="11" t="inlineStr">
        <is>
          <t>Mensaje para ti</t>
        </is>
      </c>
    </row>
    <row r="6" ht="28" customHeight="1">
      <c r="B6" s="12">
        <f>SUMIFS(Ingresos!$D$5:$D$304,Ingresos!$E$5:$E$304,Mes_Analisis)</f>
        <v/>
      </c>
      <c r="C6" s="12">
        <f>SUMIFS(Gastos!$D$5:$D$1004,Gastos!$H$5:$H$1004,Mes_Analisis)</f>
        <v/>
      </c>
      <c r="D6" s="12">
        <f>SUMIFS('Abonos a Deudas'!$C$5:$C$304,'Abonos a Deudas'!$E$5:$E$304,Mes_Analisis)</f>
        <v/>
      </c>
      <c r="E6" s="12">
        <f>SUMIFS('Ahorro e Inversión'!$C$5:$C$304,'Ahorro e Inversión'!$E$5:$E$304,Mes_Analisis)</f>
        <v/>
      </c>
      <c r="F6" s="12">
        <f>B6-C6-D6-E6</f>
        <v/>
      </c>
      <c r="G6" s="13">
        <f>IF(B6=0,"Registra tus ingresos del mes para empezar.",IF(F6&lt;0,"⚠ Gastas más de lo que ganas. Controla tus gastos (2ª cura de Babilonia).",IF(E6&lt;B6*Pct_Ahorro,"Aún no te pagas primero: aparta "&amp;TEXT(B6*Pct_Ahorro-E6,"$#,##0")&amp;" para tu bolsa.","¡Excelente! Te pagaste primero. Pon a trabajar tu oro.")))</f>
        <v/>
      </c>
    </row>
    <row r="8">
      <c r="B8" s="14" t="inlineStr">
        <is>
          <t>REGLA DE BABILONIA (10 / 20 / 70)</t>
        </is>
      </c>
    </row>
    <row r="9" ht="30" customHeight="1">
      <c r="B9" s="15" t="inlineStr">
        <is>
          <t>Concepto</t>
        </is>
      </c>
      <c r="C9" s="15" t="inlineStr">
        <is>
          <t>% del ingreso</t>
        </is>
      </c>
      <c r="D9" s="15" t="inlineStr">
        <is>
          <t>Presupuesto</t>
        </is>
      </c>
      <c r="E9" s="15" t="inlineStr">
        <is>
          <t>Real</t>
        </is>
      </c>
      <c r="F9" s="15" t="inlineStr">
        <is>
          <t>Diferencia</t>
        </is>
      </c>
      <c r="G9" s="15" t="inlineStr">
        <is>
          <t>Estado</t>
        </is>
      </c>
    </row>
    <row r="10">
      <c r="B10" s="16" t="inlineStr">
        <is>
          <t>Págate primero (ahorro e inversión)</t>
        </is>
      </c>
      <c r="C10" s="17">
        <f>Pct_Ahorro</f>
        <v/>
      </c>
      <c r="D10" s="18">
        <f>$B$6*C10</f>
        <v/>
      </c>
      <c r="E10" s="18">
        <f>E6</f>
        <v/>
      </c>
      <c r="F10" s="18">
        <f>D10-E10</f>
        <v/>
      </c>
      <c r="G10" s="16">
        <f>IF(D10=0,"-",IF(E10&gt;=D10,"✅ Meta cumplida","⏳ Faltan "&amp;TEXT(D10-E10,"$#,##0")))</f>
        <v/>
      </c>
    </row>
    <row r="11">
      <c r="B11" s="16" t="inlineStr">
        <is>
          <t>Pago de deudas</t>
        </is>
      </c>
      <c r="C11" s="17">
        <f>Pct_Deuda</f>
        <v/>
      </c>
      <c r="D11" s="18">
        <f>Deudas!$C$4</f>
        <v/>
      </c>
      <c r="E11" s="18">
        <f>D6</f>
        <v/>
      </c>
      <c r="F11" s="18">
        <f>D11-E11</f>
        <v/>
      </c>
      <c r="G11" s="16">
        <f>IF(D11=0,"-",IF(E11&gt;=D11,"✅ Meta cumplida","⏳ Faltan "&amp;TEXT(D11-E11,"$#,##0")))</f>
        <v/>
      </c>
    </row>
    <row r="12">
      <c r="B12" s="16" t="inlineStr">
        <is>
          <t>Gastos de vida</t>
        </is>
      </c>
      <c r="C12" s="17">
        <f>Pct_Vida</f>
        <v/>
      </c>
      <c r="D12" s="18">
        <f>$B$6*C12</f>
        <v/>
      </c>
      <c r="E12" s="18">
        <f>C6</f>
        <v/>
      </c>
      <c r="F12" s="18">
        <f>D12-E12</f>
        <v/>
      </c>
      <c r="G12" s="16">
        <f>IF(D12=0,"-",IF(E12&lt;=D12,"✅ Dentro del presupuesto","⚠ Excedido por "&amp;TEXT(E12-D12,"$#,##0")))</f>
        <v/>
      </c>
    </row>
    <row r="13">
      <c r="B13" s="19" t="inlineStr">
        <is>
          <t>Total</t>
        </is>
      </c>
      <c r="C13" s="20">
        <f>SUM(C10:C12)</f>
        <v/>
      </c>
      <c r="D13" s="21">
        <f>SUM(D10:D12)</f>
        <v/>
      </c>
      <c r="E13" s="21">
        <f>SUM(E10:E12)</f>
        <v/>
      </c>
      <c r="F13" s="21">
        <f>D13-E13</f>
        <v/>
      </c>
      <c r="G13" s="19" t="n"/>
    </row>
    <row r="15">
      <c r="B15" s="14" t="inlineStr">
        <is>
          <t>CONTROL DE GASTO POR PERIODO</t>
        </is>
      </c>
      <c r="F15" s="14" t="inlineStr">
        <is>
          <t>INDICADORES PADRE RICO</t>
        </is>
      </c>
    </row>
    <row r="16">
      <c r="B16" s="22" t="inlineStr">
        <is>
          <t>Frecuencia elegida</t>
        </is>
      </c>
      <c r="C16" s="23">
        <f>Frecuencia</f>
        <v/>
      </c>
      <c r="D16" s="24" t="n"/>
      <c r="F16" s="25" t="inlineStr">
        <is>
          <t>Tasa de ahorro del mes</t>
        </is>
      </c>
      <c r="G16" s="26">
        <f>IF(B6=0,0,E6/B6)</f>
        <v/>
      </c>
    </row>
    <row r="17">
      <c r="B17" s="27" t="inlineStr">
        <is>
          <t>Presupuesto de vida del mes</t>
        </is>
      </c>
      <c r="C17" s="28">
        <f>D12</f>
        <v/>
      </c>
      <c r="D17" s="29" t="n"/>
      <c r="F17" s="27" t="inlineStr">
        <is>
          <t>Ingreso pasivo del mes (activos)</t>
        </is>
      </c>
      <c r="G17" s="28">
        <f>SUMIFS(Ingresos!$D$5:$D$304,Ingresos!$E$5:$E$304,Mes_Analisis,Ingresos!$B$5:$B$304,"Ingreso pasivo")</f>
        <v/>
      </c>
    </row>
    <row r="18">
      <c r="B18" s="30" t="inlineStr">
        <is>
          <t>Periodos en el mes</t>
        </is>
      </c>
      <c r="C18" s="31">
        <f>IF(Frecuencia="Diario",DAY(EOMONTH(Mes_Analisis,0)),IF(Frecuencia="Semanal",DAY(EOMONTH(Mes_Analisis,0))/7,1))</f>
        <v/>
      </c>
      <c r="D18" s="32" t="n"/>
      <c r="F18" s="25" t="inlineStr">
        <is>
          <t>Índice de libertad financiera</t>
        </is>
      </c>
      <c r="G18" s="26">
        <f>IF(C6=0,0,G17/C6)</f>
        <v/>
      </c>
    </row>
    <row r="19">
      <c r="B19" s="27" t="inlineStr">
        <is>
          <t>Presupuesto por periodo</t>
        </is>
      </c>
      <c r="C19" s="28">
        <f>IF(C18=0,0,C17/C18)</f>
        <v/>
      </c>
      <c r="D19" s="29" t="n"/>
      <c r="F19" s="27" t="inlineStr">
        <is>
          <t>Fondo de emergencia acumulado</t>
        </is>
      </c>
      <c r="G19" s="28">
        <f>SUMIFS('Ahorro e Inversión'!$C$5:$C$304,'Ahorro e Inversión'!$B$5:$B$304,"Fondo de emergencia",'Ahorro e Inversión'!$A$5:$A$304,"&lt;="&amp;EOMONTH(Mes_Analisis,0))</f>
        <v/>
      </c>
    </row>
    <row r="20">
      <c r="B20" s="22" t="inlineStr">
        <is>
          <t>Periodo actual (hoy)</t>
        </is>
      </c>
      <c r="C20" s="23">
        <f>IF(Frecuencia="Diario",TEXT(TODAY(),"dd/mm/yyyy"),IF(Frecuencia="Semanal",TEXT(TODAY()-WEEKDAY(TODAY(),2)+1,"dd/mm")&amp;" al "&amp;TEXT(TODAY()-WEEKDAY(TODAY(),2)+7,"dd/mm"),TEXT(TODAY(),"mmmm yyyy")))</f>
        <v/>
      </c>
      <c r="D20" s="24" t="n"/>
      <c r="F20" s="27" t="inlineStr">
        <is>
          <t>Meta del fondo de emergencia</t>
        </is>
      </c>
      <c r="G20" s="28">
        <f>Meses_Emergencia*MAX(C6,D12)</f>
        <v/>
      </c>
    </row>
    <row r="21">
      <c r="B21" s="27" t="inlineStr">
        <is>
          <t>Gastado en el periodo actual</t>
        </is>
      </c>
      <c r="C21" s="28">
        <f>IF(Frecuencia="Diario",SUMIFS(Gastos!$D$5:$D$1004,Gastos!$A$5:$A$1004,TODAY()),IF(Frecuencia="Semanal",SUMIFS(Gastos!$D$5:$D$1004,Gastos!$A$5:$A$1004,"&gt;="&amp;(TODAY()-WEEKDAY(TODAY(),2)+1),Gastos!$A$5:$A$1004,"&lt;="&amp;(TODAY()-WEEKDAY(TODAY(),2)+7)),SUMIFS(Gastos!$D$5:$D$1004,Gastos!$H$5:$H$1004,DATE(YEAR(TODAY()),MONTH(TODAY()),1))))</f>
        <v/>
      </c>
      <c r="D21" s="29" t="n"/>
      <c r="F21" s="25" t="inlineStr">
        <is>
          <t>Avance del fondo</t>
        </is>
      </c>
      <c r="G21" s="26">
        <f>IF(G20=0,0,MIN(1,G19/G20))</f>
        <v/>
      </c>
    </row>
    <row r="22">
      <c r="B22" s="27" t="inlineStr">
        <is>
          <t>Disponible en el periodo</t>
        </is>
      </c>
      <c r="C22" s="28">
        <f>C19-C21</f>
        <v/>
      </c>
      <c r="D22" s="29" t="n"/>
      <c r="F22" s="27" t="inlineStr">
        <is>
          <t>Total invertido en activos</t>
        </is>
      </c>
      <c r="G22" s="28">
        <f>SUMIFS('Ahorro e Inversión'!$C$5:$C$304,'Ahorro e Inversión'!$A$5:$A$304,"&lt;="&amp;EOMONTH(Mes_Analisis,0))-G19</f>
        <v/>
      </c>
    </row>
    <row r="23">
      <c r="B23" s="22" t="inlineStr">
        <is>
          <t>Semáforo</t>
        </is>
      </c>
      <c r="C23" s="23">
        <f>IF(C19=0,"-",IF(C21&lt;=C19*0.8,"🟢 Vas bien",IF(C21&lt;=C19,"🟡 Cuidado, cerca del límite","🔴 Te pasaste: frena los deseos")))</f>
        <v/>
      </c>
      <c r="D23" s="24" t="n"/>
      <c r="F23" s="27" t="inlineStr">
        <is>
          <t>Deuda total actual</t>
        </is>
      </c>
      <c r="G23" s="28">
        <f>Deudas!$G$24</f>
        <v/>
      </c>
    </row>
    <row r="24">
      <c r="F24" s="27" t="inlineStr">
        <is>
          <t>Deuda con intereses (prioridad)</t>
        </is>
      </c>
      <c r="G24" s="28">
        <f>SUMIFS(Deudas!$G$9:$G$23,Deudas!$D$9:$D$23,"&gt;0")</f>
        <v/>
      </c>
    </row>
    <row r="25">
      <c r="F25" s="27" t="inlineStr">
        <is>
          <t>Deuda sin intereses (familiar)</t>
        </is>
      </c>
      <c r="G25" s="28">
        <f>G23-G24</f>
        <v/>
      </c>
    </row>
    <row r="26">
      <c r="F26" s="27" t="inlineStr">
        <is>
          <t>Intereses que pagas al mes (estimado)</t>
        </is>
      </c>
      <c r="G26" s="28">
        <f>Deudas!$H$24</f>
        <v/>
      </c>
    </row>
    <row r="27">
      <c r="F27" s="33" t="inlineStr">
        <is>
          <t>Libre de deudas (estimado)</t>
        </is>
      </c>
      <c r="G27" s="34">
        <f>IF(G23=0,"¡Ya eres libre!",Deudas!$K$24)</f>
        <v/>
      </c>
    </row>
    <row r="28">
      <c r="F28" s="35" t="inlineStr">
        <is>
          <t>Índice de libertad = ingreso pasivo ÷ gastos de vida. Al llegar a 100% tus activos pagan tu vida.</t>
        </is>
      </c>
    </row>
    <row r="30">
      <c r="B30" s="14" t="inlineStr">
        <is>
          <t>GASTOS POR CATEGORÍA DEL MES</t>
        </is>
      </c>
    </row>
    <row r="31" ht="30" customHeight="1">
      <c r="B31" s="15" t="inlineStr">
        <is>
          <t>Categoría</t>
        </is>
      </c>
      <c r="C31" s="15" t="inlineStr">
        <is>
          <t>Tipo</t>
        </is>
      </c>
      <c r="D31" s="15" t="inlineStr">
        <is>
          <t>Presupuesto</t>
        </is>
      </c>
      <c r="E31" s="15" t="inlineStr">
        <is>
          <t>Real</t>
        </is>
      </c>
      <c r="F31" s="15" t="inlineStr">
        <is>
          <t>Disponible</t>
        </is>
      </c>
      <c r="G31" s="15" t="inlineStr">
        <is>
          <t>% usado</t>
        </is>
      </c>
    </row>
    <row r="32">
      <c r="B32" s="16">
        <f>IF('Configuración'!A16="","",'Configuración'!A16)</f>
        <v/>
      </c>
      <c r="C32" s="16">
        <f>IF(B32="","",'Configuración'!B16)</f>
        <v/>
      </c>
      <c r="D32" s="18">
        <f>IF(B32="","",N('Configuración'!C16))</f>
        <v/>
      </c>
      <c r="E32" s="18">
        <f>IF(B32="","",SUMIFS(Gastos!$D$5:$D$1004,Gastos!$B$5:$B$1004,B32,Gastos!$H$5:$H$1004,Mes_Analisis))</f>
        <v/>
      </c>
      <c r="F32" s="18">
        <f>IF(B32="","",D32-E32)</f>
        <v/>
      </c>
      <c r="G32" s="17">
        <f>IF(B32="","",IF(D32=0,IF(E32&gt;0,1,0),E32/D32))</f>
        <v/>
      </c>
    </row>
    <row r="33">
      <c r="B33" s="16">
        <f>IF('Configuración'!A17="","",'Configuración'!A17)</f>
        <v/>
      </c>
      <c r="C33" s="16">
        <f>IF(B33="","",'Configuración'!B17)</f>
        <v/>
      </c>
      <c r="D33" s="18">
        <f>IF(B33="","",N('Configuración'!C17))</f>
        <v/>
      </c>
      <c r="E33" s="18">
        <f>IF(B33="","",SUMIFS(Gastos!$D$5:$D$1004,Gastos!$B$5:$B$1004,B33,Gastos!$H$5:$H$1004,Mes_Analisis))</f>
        <v/>
      </c>
      <c r="F33" s="18">
        <f>IF(B33="","",D33-E33)</f>
        <v/>
      </c>
      <c r="G33" s="17">
        <f>IF(B33="","",IF(D33=0,IF(E33&gt;0,1,0),E33/D33))</f>
        <v/>
      </c>
    </row>
    <row r="34">
      <c r="B34" s="16">
        <f>IF('Configuración'!A18="","",'Configuración'!A18)</f>
        <v/>
      </c>
      <c r="C34" s="16">
        <f>IF(B34="","",'Configuración'!B18)</f>
        <v/>
      </c>
      <c r="D34" s="18">
        <f>IF(B34="","",N('Configuración'!C18))</f>
        <v/>
      </c>
      <c r="E34" s="18">
        <f>IF(B34="","",SUMIFS(Gastos!$D$5:$D$1004,Gastos!$B$5:$B$1004,B34,Gastos!$H$5:$H$1004,Mes_Analisis))</f>
        <v/>
      </c>
      <c r="F34" s="18">
        <f>IF(B34="","",D34-E34)</f>
        <v/>
      </c>
      <c r="G34" s="17">
        <f>IF(B34="","",IF(D34=0,IF(E34&gt;0,1,0),E34/D34))</f>
        <v/>
      </c>
    </row>
    <row r="35">
      <c r="B35" s="16">
        <f>IF('Configuración'!A19="","",'Configuración'!A19)</f>
        <v/>
      </c>
      <c r="C35" s="16">
        <f>IF(B35="","",'Configuración'!B19)</f>
        <v/>
      </c>
      <c r="D35" s="18">
        <f>IF(B35="","",N('Configuración'!C19))</f>
        <v/>
      </c>
      <c r="E35" s="18">
        <f>IF(B35="","",SUMIFS(Gastos!$D$5:$D$1004,Gastos!$B$5:$B$1004,B35,Gastos!$H$5:$H$1004,Mes_Analisis))</f>
        <v/>
      </c>
      <c r="F35" s="18">
        <f>IF(B35="","",D35-E35)</f>
        <v/>
      </c>
      <c r="G35" s="17">
        <f>IF(B35="","",IF(D35=0,IF(E35&gt;0,1,0),E35/D35))</f>
        <v/>
      </c>
    </row>
    <row r="36">
      <c r="B36" s="16">
        <f>IF('Configuración'!A20="","",'Configuración'!A20)</f>
        <v/>
      </c>
      <c r="C36" s="16">
        <f>IF(B36="","",'Configuración'!B20)</f>
        <v/>
      </c>
      <c r="D36" s="18">
        <f>IF(B36="","",N('Configuración'!C20))</f>
        <v/>
      </c>
      <c r="E36" s="18">
        <f>IF(B36="","",SUMIFS(Gastos!$D$5:$D$1004,Gastos!$B$5:$B$1004,B36,Gastos!$H$5:$H$1004,Mes_Analisis))</f>
        <v/>
      </c>
      <c r="F36" s="18">
        <f>IF(B36="","",D36-E36)</f>
        <v/>
      </c>
      <c r="G36" s="17">
        <f>IF(B36="","",IF(D36=0,IF(E36&gt;0,1,0),E36/D36))</f>
        <v/>
      </c>
    </row>
    <row r="37">
      <c r="B37" s="16">
        <f>IF('Configuración'!A21="","",'Configuración'!A21)</f>
        <v/>
      </c>
      <c r="C37" s="16">
        <f>IF(B37="","",'Configuración'!B21)</f>
        <v/>
      </c>
      <c r="D37" s="18">
        <f>IF(B37="","",N('Configuración'!C21))</f>
        <v/>
      </c>
      <c r="E37" s="18">
        <f>IF(B37="","",SUMIFS(Gastos!$D$5:$D$1004,Gastos!$B$5:$B$1004,B37,Gastos!$H$5:$H$1004,Mes_Analisis))</f>
        <v/>
      </c>
      <c r="F37" s="18">
        <f>IF(B37="","",D37-E37)</f>
        <v/>
      </c>
      <c r="G37" s="17">
        <f>IF(B37="","",IF(D37=0,IF(E37&gt;0,1,0),E37/D37))</f>
        <v/>
      </c>
    </row>
    <row r="38">
      <c r="B38" s="16">
        <f>IF('Configuración'!A22="","",'Configuración'!A22)</f>
        <v/>
      </c>
      <c r="C38" s="16">
        <f>IF(B38="","",'Configuración'!B22)</f>
        <v/>
      </c>
      <c r="D38" s="18">
        <f>IF(B38="","",N('Configuración'!C22))</f>
        <v/>
      </c>
      <c r="E38" s="18">
        <f>IF(B38="","",SUMIFS(Gastos!$D$5:$D$1004,Gastos!$B$5:$B$1004,B38,Gastos!$H$5:$H$1004,Mes_Analisis))</f>
        <v/>
      </c>
      <c r="F38" s="18">
        <f>IF(B38="","",D38-E38)</f>
        <v/>
      </c>
      <c r="G38" s="17">
        <f>IF(B38="","",IF(D38=0,IF(E38&gt;0,1,0),E38/D38))</f>
        <v/>
      </c>
    </row>
    <row r="39">
      <c r="B39" s="16">
        <f>IF('Configuración'!A23="","",'Configuración'!A23)</f>
        <v/>
      </c>
      <c r="C39" s="16">
        <f>IF(B39="","",'Configuración'!B23)</f>
        <v/>
      </c>
      <c r="D39" s="18">
        <f>IF(B39="","",N('Configuración'!C23))</f>
        <v/>
      </c>
      <c r="E39" s="18">
        <f>IF(B39="","",SUMIFS(Gastos!$D$5:$D$1004,Gastos!$B$5:$B$1004,B39,Gastos!$H$5:$H$1004,Mes_Analisis))</f>
        <v/>
      </c>
      <c r="F39" s="18">
        <f>IF(B39="","",D39-E39)</f>
        <v/>
      </c>
      <c r="G39" s="17">
        <f>IF(B39="","",IF(D39=0,IF(E39&gt;0,1,0),E39/D39))</f>
        <v/>
      </c>
    </row>
    <row r="40">
      <c r="B40" s="16">
        <f>IF('Configuración'!A24="","",'Configuración'!A24)</f>
        <v/>
      </c>
      <c r="C40" s="16">
        <f>IF(B40="","",'Configuración'!B24)</f>
        <v/>
      </c>
      <c r="D40" s="18">
        <f>IF(B40="","",N('Configuración'!C24))</f>
        <v/>
      </c>
      <c r="E40" s="18">
        <f>IF(B40="","",SUMIFS(Gastos!$D$5:$D$1004,Gastos!$B$5:$B$1004,B40,Gastos!$H$5:$H$1004,Mes_Analisis))</f>
        <v/>
      </c>
      <c r="F40" s="18">
        <f>IF(B40="","",D40-E40)</f>
        <v/>
      </c>
      <c r="G40" s="17">
        <f>IF(B40="","",IF(D40=0,IF(E40&gt;0,1,0),E40/D40))</f>
        <v/>
      </c>
    </row>
    <row r="41">
      <c r="B41" s="16">
        <f>IF('Configuración'!A25="","",'Configuración'!A25)</f>
        <v/>
      </c>
      <c r="C41" s="16">
        <f>IF(B41="","",'Configuración'!B25)</f>
        <v/>
      </c>
      <c r="D41" s="18">
        <f>IF(B41="","",N('Configuración'!C25))</f>
        <v/>
      </c>
      <c r="E41" s="18">
        <f>IF(B41="","",SUMIFS(Gastos!$D$5:$D$1004,Gastos!$B$5:$B$1004,B41,Gastos!$H$5:$H$1004,Mes_Analisis))</f>
        <v/>
      </c>
      <c r="F41" s="18">
        <f>IF(B41="","",D41-E41)</f>
        <v/>
      </c>
      <c r="G41" s="17">
        <f>IF(B41="","",IF(D41=0,IF(E41&gt;0,1,0),E41/D41))</f>
        <v/>
      </c>
    </row>
    <row r="42">
      <c r="B42" s="16">
        <f>IF('Configuración'!A26="","",'Configuración'!A26)</f>
        <v/>
      </c>
      <c r="C42" s="16">
        <f>IF(B42="","",'Configuración'!B26)</f>
        <v/>
      </c>
      <c r="D42" s="18">
        <f>IF(B42="","",N('Configuración'!C26))</f>
        <v/>
      </c>
      <c r="E42" s="18">
        <f>IF(B42="","",SUMIFS(Gastos!$D$5:$D$1004,Gastos!$B$5:$B$1004,B42,Gastos!$H$5:$H$1004,Mes_Analisis))</f>
        <v/>
      </c>
      <c r="F42" s="18">
        <f>IF(B42="","",D42-E42)</f>
        <v/>
      </c>
      <c r="G42" s="17">
        <f>IF(B42="","",IF(D42=0,IF(E42&gt;0,1,0),E42/D42))</f>
        <v/>
      </c>
    </row>
    <row r="43">
      <c r="B43" s="16">
        <f>IF('Configuración'!A27="","",'Configuración'!A27)</f>
        <v/>
      </c>
      <c r="C43" s="16">
        <f>IF(B43="","",'Configuración'!B27)</f>
        <v/>
      </c>
      <c r="D43" s="18">
        <f>IF(B43="","",N('Configuración'!C27))</f>
        <v/>
      </c>
      <c r="E43" s="18">
        <f>IF(B43="","",SUMIFS(Gastos!$D$5:$D$1004,Gastos!$B$5:$B$1004,B43,Gastos!$H$5:$H$1004,Mes_Analisis))</f>
        <v/>
      </c>
      <c r="F43" s="18">
        <f>IF(B43="","",D43-E43)</f>
        <v/>
      </c>
      <c r="G43" s="17">
        <f>IF(B43="","",IF(D43=0,IF(E43&gt;0,1,0),E43/D43))</f>
        <v/>
      </c>
    </row>
    <row r="44">
      <c r="B44" s="16">
        <f>IF('Configuración'!A28="","",'Configuración'!A28)</f>
        <v/>
      </c>
      <c r="C44" s="16">
        <f>IF(B44="","",'Configuración'!B28)</f>
        <v/>
      </c>
      <c r="D44" s="18">
        <f>IF(B44="","",N('Configuración'!C28))</f>
        <v/>
      </c>
      <c r="E44" s="18">
        <f>IF(B44="","",SUMIFS(Gastos!$D$5:$D$1004,Gastos!$B$5:$B$1004,B44,Gastos!$H$5:$H$1004,Mes_Analisis))</f>
        <v/>
      </c>
      <c r="F44" s="18">
        <f>IF(B44="","",D44-E44)</f>
        <v/>
      </c>
      <c r="G44" s="17">
        <f>IF(B44="","",IF(D44=0,IF(E44&gt;0,1,0),E44/D44))</f>
        <v/>
      </c>
    </row>
    <row r="45">
      <c r="B45" s="16">
        <f>IF('Configuración'!A29="","",'Configuración'!A29)</f>
        <v/>
      </c>
      <c r="C45" s="16">
        <f>IF(B45="","",'Configuración'!B29)</f>
        <v/>
      </c>
      <c r="D45" s="18">
        <f>IF(B45="","",N('Configuración'!C29))</f>
        <v/>
      </c>
      <c r="E45" s="18">
        <f>IF(B45="","",SUMIFS(Gastos!$D$5:$D$1004,Gastos!$B$5:$B$1004,B45,Gastos!$H$5:$H$1004,Mes_Analisis))</f>
        <v/>
      </c>
      <c r="F45" s="18">
        <f>IF(B45="","",D45-E45)</f>
        <v/>
      </c>
      <c r="G45" s="17">
        <f>IF(B45="","",IF(D45=0,IF(E45&gt;0,1,0),E45/D45))</f>
        <v/>
      </c>
    </row>
    <row r="46">
      <c r="B46" s="16">
        <f>IF('Configuración'!A30="","",'Configuración'!A30)</f>
        <v/>
      </c>
      <c r="C46" s="16">
        <f>IF(B46="","",'Configuración'!B30)</f>
        <v/>
      </c>
      <c r="D46" s="18">
        <f>IF(B46="","",N('Configuración'!C30))</f>
        <v/>
      </c>
      <c r="E46" s="18">
        <f>IF(B46="","",SUMIFS(Gastos!$D$5:$D$1004,Gastos!$B$5:$B$1004,B46,Gastos!$H$5:$H$1004,Mes_Analisis))</f>
        <v/>
      </c>
      <c r="F46" s="18">
        <f>IF(B46="","",D46-E46)</f>
        <v/>
      </c>
      <c r="G46" s="17">
        <f>IF(B46="","",IF(D46=0,IF(E46&gt;0,1,0),E46/D46))</f>
        <v/>
      </c>
    </row>
    <row r="47">
      <c r="B47" s="16">
        <f>IF('Configuración'!A31="","",'Configuración'!A31)</f>
        <v/>
      </c>
      <c r="C47" s="16">
        <f>IF(B47="","",'Configuración'!B31)</f>
        <v/>
      </c>
      <c r="D47" s="18">
        <f>IF(B47="","",N('Configuración'!C31))</f>
        <v/>
      </c>
      <c r="E47" s="18">
        <f>IF(B47="","",SUMIFS(Gastos!$D$5:$D$1004,Gastos!$B$5:$B$1004,B47,Gastos!$H$5:$H$1004,Mes_Analisis))</f>
        <v/>
      </c>
      <c r="F47" s="18">
        <f>IF(B47="","",D47-E47)</f>
        <v/>
      </c>
      <c r="G47" s="17">
        <f>IF(B47="","",IF(D47=0,IF(E47&gt;0,1,0),E47/D47))</f>
        <v/>
      </c>
    </row>
    <row r="48">
      <c r="B48" s="16">
        <f>IF('Configuración'!A32="","",'Configuración'!A32)</f>
        <v/>
      </c>
      <c r="C48" s="16">
        <f>IF(B48="","",'Configuración'!B32)</f>
        <v/>
      </c>
      <c r="D48" s="18">
        <f>IF(B48="","",N('Configuración'!C32))</f>
        <v/>
      </c>
      <c r="E48" s="18">
        <f>IF(B48="","",SUMIFS(Gastos!$D$5:$D$1004,Gastos!$B$5:$B$1004,B48,Gastos!$H$5:$H$1004,Mes_Analisis))</f>
        <v/>
      </c>
      <c r="F48" s="18">
        <f>IF(B48="","",D48-E48)</f>
        <v/>
      </c>
      <c r="G48" s="17">
        <f>IF(B48="","",IF(D48=0,IF(E48&gt;0,1,0),E48/D48))</f>
        <v/>
      </c>
    </row>
    <row r="49">
      <c r="B49" s="16">
        <f>IF('Configuración'!A33="","",'Configuración'!A33)</f>
        <v/>
      </c>
      <c r="C49" s="16">
        <f>IF(B49="","",'Configuración'!B33)</f>
        <v/>
      </c>
      <c r="D49" s="18">
        <f>IF(B49="","",N('Configuración'!C33))</f>
        <v/>
      </c>
      <c r="E49" s="18">
        <f>IF(B49="","",SUMIFS(Gastos!$D$5:$D$1004,Gastos!$B$5:$B$1004,B49,Gastos!$H$5:$H$1004,Mes_Analisis))</f>
        <v/>
      </c>
      <c r="F49" s="18">
        <f>IF(B49="","",D49-E49)</f>
        <v/>
      </c>
      <c r="G49" s="17">
        <f>IF(B49="","",IF(D49=0,IF(E49&gt;0,1,0),E49/D49))</f>
        <v/>
      </c>
    </row>
    <row r="50">
      <c r="B50" s="16">
        <f>IF('Configuración'!A34="","",'Configuración'!A34)</f>
        <v/>
      </c>
      <c r="C50" s="16">
        <f>IF(B50="","",'Configuración'!B34)</f>
        <v/>
      </c>
      <c r="D50" s="18">
        <f>IF(B50="","",N('Configuración'!C34))</f>
        <v/>
      </c>
      <c r="E50" s="18">
        <f>IF(B50="","",SUMIFS(Gastos!$D$5:$D$1004,Gastos!$B$5:$B$1004,B50,Gastos!$H$5:$H$1004,Mes_Analisis))</f>
        <v/>
      </c>
      <c r="F50" s="18">
        <f>IF(B50="","",D50-E50)</f>
        <v/>
      </c>
      <c r="G50" s="17">
        <f>IF(B50="","",IF(D50=0,IF(E50&gt;0,1,0),E50/D50))</f>
        <v/>
      </c>
    </row>
    <row r="51">
      <c r="B51" s="16">
        <f>IF('Configuración'!A35="","",'Configuración'!A35)</f>
        <v/>
      </c>
      <c r="C51" s="16">
        <f>IF(B51="","",'Configuración'!B35)</f>
        <v/>
      </c>
      <c r="D51" s="18">
        <f>IF(B51="","",N('Configuración'!C35))</f>
        <v/>
      </c>
      <c r="E51" s="18">
        <f>IF(B51="","",SUMIFS(Gastos!$D$5:$D$1004,Gastos!$B$5:$B$1004,B51,Gastos!$H$5:$H$1004,Mes_Analisis))</f>
        <v/>
      </c>
      <c r="F51" s="18">
        <f>IF(B51="","",D51-E51)</f>
        <v/>
      </c>
      <c r="G51" s="17">
        <f>IF(B51="","",IF(D51=0,IF(E51&gt;0,1,0),E51/D51))</f>
        <v/>
      </c>
    </row>
    <row r="52">
      <c r="B52" s="19" t="inlineStr">
        <is>
          <t>Total</t>
        </is>
      </c>
      <c r="C52" s="19" t="n"/>
      <c r="D52" s="21">
        <f>SUM(D32:D51)</f>
        <v/>
      </c>
      <c r="E52" s="21">
        <f>SUM(E32:E51)</f>
        <v/>
      </c>
      <c r="F52" s="21">
        <f>D52-E52</f>
        <v/>
      </c>
      <c r="G52" s="20">
        <f>IF(D52=0,0,E52/D52)</f>
        <v/>
      </c>
    </row>
    <row r="53">
      <c r="E53" s="36">
        <f>IF(ROUND(E52,2)&lt;&gt;ROUND(C6,2),"⚠ Hay gastos con categorías que no están en Configuración","")</f>
        <v/>
      </c>
    </row>
    <row r="55">
      <c r="B55" s="14" t="inlineStr">
        <is>
          <t>NECESIDADES VS DESEOS</t>
        </is>
      </c>
    </row>
    <row r="56" ht="30" customHeight="1">
      <c r="B56" s="15" t="inlineStr">
        <is>
          <t>Tipo</t>
        </is>
      </c>
      <c r="C56" s="15" t="inlineStr">
        <is>
          <t>Monto</t>
        </is>
      </c>
      <c r="D56" s="15" t="inlineStr">
        <is>
          <t>% del gasto</t>
        </is>
      </c>
    </row>
    <row r="57">
      <c r="B57" s="16" t="inlineStr">
        <is>
          <t>Necesidad</t>
        </is>
      </c>
      <c r="C57" s="18">
        <f>SUMIFS(Gastos!$D$5:$D$1004,Gastos!$F$5:$F$1004,"Necesidad",Gastos!$H$5:$H$1004,Mes_Analisis)</f>
        <v/>
      </c>
      <c r="D57" s="17">
        <f>IF($C$6=0,0,C57/$C$6)</f>
        <v/>
      </c>
    </row>
    <row r="58">
      <c r="B58" s="16" t="inlineStr">
        <is>
          <t>Deseo</t>
        </is>
      </c>
      <c r="C58" s="18">
        <f>SUMIFS(Gastos!$D$5:$D$1004,Gastos!$F$5:$F$1004,"Deseo",Gastos!$H$5:$H$1004,Mes_Analisis)</f>
        <v/>
      </c>
      <c r="D58" s="17">
        <f>IF($C$6=0,0,C58/$C$6)</f>
        <v/>
      </c>
    </row>
    <row r="59">
      <c r="B59" s="35" t="inlineStr">
        <is>
          <t>Tip: recorta primero los 'Deseos' para acelerar el pago de tus tarjetas.</t>
        </is>
      </c>
    </row>
  </sheetData>
  <mergeCells count="12">
    <mergeCell ref="G6:J6"/>
    <mergeCell ref="C20:D20"/>
    <mergeCell ref="C21:D21"/>
    <mergeCell ref="C16:D16"/>
    <mergeCell ref="C19:D19"/>
    <mergeCell ref="A2:Q2"/>
    <mergeCell ref="C22:D22"/>
    <mergeCell ref="C18:D18"/>
    <mergeCell ref="C17:D17"/>
    <mergeCell ref="G5:J5"/>
    <mergeCell ref="A1:Q1"/>
    <mergeCell ref="C23:D23"/>
  </mergeCells>
  <conditionalFormatting sqref="F6">
    <cfRule type="cellIs" priority="1" operator="lessThan" dxfId="0">
      <formula>0</formula>
    </cfRule>
  </conditionalFormatting>
  <conditionalFormatting sqref="G10:G12">
    <cfRule type="expression" priority="2" dxfId="1">
      <formula>LEFT(G10,1)="⚠"</formula>
    </cfRule>
    <cfRule type="expression" priority="3" dxfId="2">
      <formula>LEFT(G10,1)="✅"</formula>
    </cfRule>
  </conditionalFormatting>
  <conditionalFormatting sqref="C22">
    <cfRule type="cellIs" priority="4" operator="lessThan" dxfId="1">
      <formula>0</formula>
    </cfRule>
  </conditionalFormatting>
  <conditionalFormatting sqref="G21">
    <cfRule type="dataBar" priority="5">
      <dataBar>
        <cfvo type="num" val="0"/>
        <cfvo type="num" val="1"/>
        <color rgb="00C9A227"/>
      </dataBar>
    </cfRule>
  </conditionalFormatting>
  <conditionalFormatting sqref="G18">
    <cfRule type="dataBar" priority="6">
      <dataBar>
        <cfvo type="num" val="0"/>
        <cfvo type="num" val="1"/>
        <color rgb="0070AD47"/>
      </dataBar>
    </cfRule>
  </conditionalFormatting>
  <conditionalFormatting sqref="G32:G51">
    <cfRule type="cellIs" priority="7" operator="greaterThan" dxfId="3">
      <formula>1</formula>
    </cfRule>
    <cfRule type="cellIs" priority="8" operator="between" dxfId="4">
      <formula>0.8</formula>
      <formula>1</formula>
    </cfRule>
  </conditionalFormatting>
  <conditionalFormatting sqref="F32:F51">
    <cfRule type="cellIs" priority="9" operator="lessThan" dxfId="1">
      <formula>0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A1:I3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6" customWidth="1" min="3" max="3"/>
    <col width="3" customWidth="1" min="4" max="4"/>
    <col width="22" customWidth="1" min="5" max="5"/>
    <col width="22" customWidth="1" min="6" max="6"/>
    <col width="24" customWidth="1" min="7" max="7"/>
    <col width="16" customWidth="1" min="8" max="8"/>
    <col width="12" customWidth="1" min="9" max="9"/>
  </cols>
  <sheetData>
    <row r="1" ht="34" customHeight="1">
      <c r="A1" s="1" t="inlineStr">
        <is>
          <t>CONFIGURACIÓN</t>
        </is>
      </c>
    </row>
    <row r="2">
      <c r="A2" s="2" t="inlineStr">
        <is>
          <t>Llena solo las celdas amarillas</t>
        </is>
      </c>
    </row>
    <row r="4">
      <c r="A4" s="22" t="inlineStr">
        <is>
          <t>Tu nombre</t>
        </is>
      </c>
      <c r="B4" s="37" t="inlineStr">
        <is>
          <t>Tu nombre</t>
        </is>
      </c>
    </row>
    <row r="5">
      <c r="A5" s="22" t="inlineStr">
        <is>
          <t>Frecuencia de control de gastos</t>
        </is>
      </c>
      <c r="B5" s="37" t="inlineStr">
        <is>
          <t>Semanal</t>
        </is>
      </c>
    </row>
    <row r="6">
      <c r="A6" s="22" t="inlineStr">
        <is>
          <t>Mes a analizar (opcional, vacío = mes actual)</t>
        </is>
      </c>
      <c r="B6" s="38" t="n"/>
    </row>
    <row r="7">
      <c r="A7" s="22" t="inlineStr">
        <is>
          <t>Mes en análisis (automático)</t>
        </is>
      </c>
      <c r="B7" s="34">
        <f>IF(B6="",DATE(YEAR(TODAY()),MONTH(TODAY()),1),DATE(YEAR(B6),MONTH(B6),1))</f>
        <v/>
      </c>
    </row>
    <row r="8">
      <c r="A8" s="22" t="inlineStr">
        <is>
          <t>% Págate primero (ahorro e inversión)</t>
        </is>
      </c>
      <c r="B8" s="39" t="n">
        <v>0.1</v>
      </c>
      <c r="C8" s="35" t="inlineStr">
        <is>
          <t>Regla de Babilonia: 10%</t>
        </is>
      </c>
    </row>
    <row r="9">
      <c r="A9" s="22" t="inlineStr">
        <is>
          <t>% Pago de deudas</t>
        </is>
      </c>
      <c r="B9" s="39" t="n">
        <v>0.2</v>
      </c>
      <c r="C9" s="35" t="inlineStr">
        <is>
          <t>Regla de Babilonia: 20%</t>
        </is>
      </c>
    </row>
    <row r="10">
      <c r="A10" s="22" t="inlineStr">
        <is>
          <t>% Gastos de vida (automático)</t>
        </is>
      </c>
      <c r="B10" s="40">
        <f>1-B8-B9</f>
        <v/>
      </c>
      <c r="C10" s="35">
        <f>IF(B10&lt;0,"⚠ Los % suman más de 100%","Regla de Babilonia: 70%")</f>
        <v/>
      </c>
    </row>
    <row r="11">
      <c r="A11" s="22" t="inlineStr">
        <is>
          <t>Presupuesto fijo mensual para deudas (opcional)</t>
        </is>
      </c>
      <c r="B11" s="41" t="n"/>
      <c r="C11" s="35" t="inlineStr">
        <is>
          <t>Si lo dejas vacío se usa el % de deudas × ingreso del mes</t>
        </is>
      </c>
    </row>
    <row r="12">
      <c r="A12" s="22" t="inlineStr">
        <is>
          <t>Meta del fondo de emergencia (meses de gastos)</t>
        </is>
      </c>
      <c r="B12" s="42" t="n">
        <v>3</v>
      </c>
    </row>
    <row r="15" ht="30" customHeight="1">
      <c r="A15" s="15" t="inlineStr">
        <is>
          <t>Categoría de gasto</t>
        </is>
      </c>
      <c r="B15" s="15" t="inlineStr">
        <is>
          <t>Tipo</t>
        </is>
      </c>
      <c r="C15" s="15" t="inlineStr">
        <is>
          <t>Presupuesto mensual</t>
        </is>
      </c>
      <c r="E15" s="43" t="inlineStr">
        <is>
          <t>Fuentes de ingreso</t>
        </is>
      </c>
      <c r="F15" s="43" t="inlineStr">
        <is>
          <t>Tipos de deuda</t>
        </is>
      </c>
      <c r="G15" s="43" t="inlineStr">
        <is>
          <t>Destinos de ahorro</t>
        </is>
      </c>
      <c r="H15" s="43" t="inlineStr">
        <is>
          <t>Métodos de pago</t>
        </is>
      </c>
      <c r="I15" s="43" t="inlineStr">
        <is>
          <t>Frecuencias</t>
        </is>
      </c>
    </row>
    <row r="16">
      <c r="A16" s="44" t="inlineStr">
        <is>
          <t>Vivienda / Renta</t>
        </is>
      </c>
      <c r="B16" s="44" t="inlineStr">
        <is>
          <t>Necesidad</t>
        </is>
      </c>
      <c r="C16" s="45" t="n">
        <v>6500</v>
      </c>
      <c r="E16" s="44" t="inlineStr">
        <is>
          <t>Sueldo</t>
        </is>
      </c>
      <c r="F16" s="44" t="inlineStr">
        <is>
          <t>Tarjeta de crédito</t>
        </is>
      </c>
      <c r="G16" s="44" t="inlineStr">
        <is>
          <t>Fondo de emergencia</t>
        </is>
      </c>
      <c r="H16" s="44" t="inlineStr">
        <is>
          <t>Efectivo</t>
        </is>
      </c>
      <c r="I16" s="44" t="inlineStr">
        <is>
          <t>Diario</t>
        </is>
      </c>
    </row>
    <row r="17">
      <c r="A17" s="44" t="inlineStr">
        <is>
          <t>Servicios (luz, agua, gas)</t>
        </is>
      </c>
      <c r="B17" s="44" t="inlineStr">
        <is>
          <t>Necesidad</t>
        </is>
      </c>
      <c r="C17" s="45" t="n">
        <v>900</v>
      </c>
      <c r="E17" s="44" t="inlineStr">
        <is>
          <t>Negocio</t>
        </is>
      </c>
      <c r="F17" s="44" t="inlineStr">
        <is>
          <t>Préstamo personal</t>
        </is>
      </c>
      <c r="G17" s="44" t="inlineStr">
        <is>
          <t>Inversión (bolsa, CETES, fondos)</t>
        </is>
      </c>
      <c r="H17" s="44" t="inlineStr">
        <is>
          <t>Débito</t>
        </is>
      </c>
      <c r="I17" s="44" t="inlineStr">
        <is>
          <t>Semanal</t>
        </is>
      </c>
    </row>
    <row r="18">
      <c r="A18" s="44" t="inlineStr">
        <is>
          <t>Súper / Despensa</t>
        </is>
      </c>
      <c r="B18" s="44" t="inlineStr">
        <is>
          <t>Necesidad</t>
        </is>
      </c>
      <c r="C18" s="45" t="n">
        <v>3800</v>
      </c>
      <c r="E18" s="44" t="inlineStr">
        <is>
          <t>Freelance / Extra</t>
        </is>
      </c>
      <c r="F18" s="44" t="inlineStr">
        <is>
          <t>Crédito auto</t>
        </is>
      </c>
      <c r="G18" s="44" t="inlineStr">
        <is>
          <t>Negocio</t>
        </is>
      </c>
      <c r="H18" s="44" t="inlineStr">
        <is>
          <t>Transferencia</t>
        </is>
      </c>
      <c r="I18" s="44" t="inlineStr">
        <is>
          <t>Mensual</t>
        </is>
      </c>
    </row>
    <row r="19">
      <c r="A19" s="44" t="inlineStr">
        <is>
          <t>Transporte / Gasolina</t>
        </is>
      </c>
      <c r="B19" s="44" t="inlineStr">
        <is>
          <t>Necesidad</t>
        </is>
      </c>
      <c r="C19" s="45" t="n">
        <v>1800</v>
      </c>
      <c r="E19" s="44" t="inlineStr">
        <is>
          <t>Ingreso pasivo</t>
        </is>
      </c>
      <c r="F19" s="44" t="inlineStr">
        <is>
          <t>Crédito hipotecario</t>
        </is>
      </c>
      <c r="G19" s="44" t="inlineStr">
        <is>
          <t>Bienes raíces</t>
        </is>
      </c>
      <c r="H19" s="44" t="inlineStr">
        <is>
          <t>Tarjeta de crédito</t>
        </is>
      </c>
      <c r="I19" s="44" t="n"/>
    </row>
    <row r="20">
      <c r="A20" s="44" t="inlineStr">
        <is>
          <t>Teléfono / Internet</t>
        </is>
      </c>
      <c r="B20" s="44" t="inlineStr">
        <is>
          <t>Necesidad</t>
        </is>
      </c>
      <c r="C20" s="45" t="n">
        <v>650</v>
      </c>
      <c r="E20" s="44" t="inlineStr">
        <is>
          <t>Otro</t>
        </is>
      </c>
      <c r="F20" s="44" t="inlineStr">
        <is>
          <t>Préstamo familiar</t>
        </is>
      </c>
      <c r="G20" s="44" t="inlineStr">
        <is>
          <t>Educación financiera</t>
        </is>
      </c>
      <c r="H20" s="44" t="n"/>
      <c r="I20" s="44" t="n"/>
    </row>
    <row r="21">
      <c r="A21" s="44" t="inlineStr">
        <is>
          <t>Salud / Farmacia</t>
        </is>
      </c>
      <c r="B21" s="44" t="inlineStr">
        <is>
          <t>Necesidad</t>
        </is>
      </c>
      <c r="C21" s="45" t="n">
        <v>500</v>
      </c>
      <c r="E21" s="44" t="n"/>
      <c r="F21" s="44" t="inlineStr">
        <is>
          <t>Préstamo amigo</t>
        </is>
      </c>
      <c r="G21" s="44" t="inlineStr">
        <is>
          <t>Retiro / Afore</t>
        </is>
      </c>
      <c r="H21" s="44" t="n"/>
      <c r="I21" s="44" t="n"/>
    </row>
    <row r="22">
      <c r="A22" s="44" t="inlineStr">
        <is>
          <t>Educación</t>
        </is>
      </c>
      <c r="B22" s="44" t="inlineStr">
        <is>
          <t>Necesidad</t>
        </is>
      </c>
      <c r="C22" s="45" t="n">
        <v>400</v>
      </c>
      <c r="E22" s="44" t="n"/>
      <c r="F22" s="44" t="inlineStr">
        <is>
          <t>Otro</t>
        </is>
      </c>
      <c r="G22" s="44" t="inlineStr">
        <is>
          <t>Otro</t>
        </is>
      </c>
      <c r="H22" s="44" t="n"/>
      <c r="I22" s="44" t="n"/>
    </row>
    <row r="23">
      <c r="A23" s="44" t="inlineStr">
        <is>
          <t>Mascotas</t>
        </is>
      </c>
      <c r="B23" s="44" t="inlineStr">
        <is>
          <t>Necesidad</t>
        </is>
      </c>
      <c r="C23" s="45" t="n">
        <v>300</v>
      </c>
      <c r="E23" s="44" t="n"/>
      <c r="F23" s="44" t="n"/>
      <c r="G23" s="44" t="n"/>
      <c r="H23" s="44" t="n"/>
      <c r="I23" s="44" t="n"/>
    </row>
    <row r="24">
      <c r="A24" s="44" t="inlineStr">
        <is>
          <t>Comida fuera / Antojos</t>
        </is>
      </c>
      <c r="B24" s="44" t="inlineStr">
        <is>
          <t>Deseo</t>
        </is>
      </c>
      <c r="C24" s="45" t="n">
        <v>1200</v>
      </c>
      <c r="E24" s="44" t="n"/>
      <c r="F24" s="44" t="n"/>
      <c r="G24" s="44" t="n"/>
      <c r="H24" s="44" t="n"/>
      <c r="I24" s="44" t="n"/>
    </row>
    <row r="25">
      <c r="A25" s="44" t="inlineStr">
        <is>
          <t>Entretenimiento</t>
        </is>
      </c>
      <c r="B25" s="44" t="inlineStr">
        <is>
          <t>Deseo</t>
        </is>
      </c>
      <c r="C25" s="45" t="n">
        <v>600</v>
      </c>
      <c r="E25" s="44" t="n"/>
      <c r="F25" s="44" t="n"/>
      <c r="G25" s="44" t="n"/>
      <c r="H25" s="44" t="n"/>
      <c r="I25" s="44" t="n"/>
    </row>
    <row r="26">
      <c r="A26" s="44" t="inlineStr">
        <is>
          <t>Ropa / Calzado</t>
        </is>
      </c>
      <c r="B26" s="44" t="inlineStr">
        <is>
          <t>Deseo</t>
        </is>
      </c>
      <c r="C26" s="45" t="n">
        <v>500</v>
      </c>
    </row>
    <row r="27">
      <c r="A27" s="44" t="inlineStr">
        <is>
          <t>Suscripciones</t>
        </is>
      </c>
      <c r="B27" s="44" t="inlineStr">
        <is>
          <t>Deseo</t>
        </is>
      </c>
      <c r="C27" s="45" t="n">
        <v>350</v>
      </c>
      <c r="E27" s="35" t="inlineStr">
        <is>
          <t>Puedes agregar opciones en las celdas amarillas vacías de cada lista.</t>
        </is>
      </c>
    </row>
    <row r="28">
      <c r="A28" s="44" t="inlineStr">
        <is>
          <t>Regalos</t>
        </is>
      </c>
      <c r="B28" s="44" t="inlineStr">
        <is>
          <t>Deseo</t>
        </is>
      </c>
      <c r="C28" s="45" t="n">
        <v>300</v>
      </c>
    </row>
    <row r="29">
      <c r="A29" s="44" t="inlineStr">
        <is>
          <t>Otros</t>
        </is>
      </c>
      <c r="B29" s="44" t="inlineStr">
        <is>
          <t>Deseo</t>
        </is>
      </c>
      <c r="C29" s="45" t="n">
        <v>400</v>
      </c>
    </row>
    <row r="30">
      <c r="A30" s="44" t="n"/>
      <c r="B30" s="44" t="n"/>
      <c r="C30" s="45" t="n"/>
    </row>
    <row r="31">
      <c r="A31" s="44" t="n"/>
      <c r="B31" s="44" t="n"/>
      <c r="C31" s="45" t="n"/>
    </row>
    <row r="32">
      <c r="A32" s="44" t="n"/>
      <c r="B32" s="44" t="n"/>
      <c r="C32" s="45" t="n"/>
    </row>
    <row r="33">
      <c r="A33" s="44" t="n"/>
      <c r="B33" s="44" t="n"/>
      <c r="C33" s="45" t="n"/>
    </row>
    <row r="34">
      <c r="A34" s="44" t="n"/>
      <c r="B34" s="44" t="n"/>
      <c r="C34" s="45" t="n"/>
    </row>
    <row r="35">
      <c r="A35" s="44" t="n"/>
      <c r="B35" s="44" t="n"/>
      <c r="C35" s="45" t="n"/>
    </row>
    <row r="36">
      <c r="A36" s="46" t="inlineStr">
        <is>
          <t>Total presupuesto de categorías</t>
        </is>
      </c>
      <c r="C36" s="47">
        <f>SUM(C16:C35)</f>
        <v/>
      </c>
    </row>
  </sheetData>
  <mergeCells count="2">
    <mergeCell ref="A1:I1"/>
    <mergeCell ref="A2:I2"/>
  </mergeCells>
  <dataValidations count="2">
    <dataValidation sqref="B16:B35" showDropDown="0" showInputMessage="0" showErrorMessage="0" allowBlank="1" type="list">
      <formula1>"Necesidad,Deseo"</formula1>
    </dataValidation>
    <dataValidation sqref="B5" showDropDown="0" showInputMessage="0" showErrorMessage="0" allowBlank="1" errorTitle="Valor no válido" error="Elige Diario, Semanal o Mensual" type="list">
      <formula1>$I$16:$I$18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F3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36" customWidth="1" min="3" max="3"/>
    <col width="16" customWidth="1" min="4" max="4"/>
    <col width="14" customWidth="1" min="5" max="5"/>
    <col width="18" customWidth="1" min="6" max="6"/>
  </cols>
  <sheetData>
    <row r="1" ht="34" customHeight="1">
      <c r="A1" s="1" t="inlineStr">
        <is>
          <t>INGRESOS</t>
        </is>
      </c>
    </row>
    <row r="2">
      <c r="A2" s="2" t="inlineStr">
        <is>
          <t>Sueldo, ganancias del negocio e ingreso pasivo. Todo lo que entra a tu bolsa.</t>
        </is>
      </c>
    </row>
    <row r="4" ht="30" customHeight="1">
      <c r="A4" s="15" t="inlineStr">
        <is>
          <t>Fecha</t>
        </is>
      </c>
      <c r="B4" s="15" t="inlineStr">
        <is>
          <t>Fuente</t>
        </is>
      </c>
      <c r="C4" s="15" t="inlineStr">
        <is>
          <t>Descripción</t>
        </is>
      </c>
      <c r="D4" s="15" t="inlineStr">
        <is>
          <t>Monto</t>
        </is>
      </c>
      <c r="E4" s="15" t="inlineStr">
        <is>
          <t>Mes</t>
        </is>
      </c>
      <c r="F4" s="15" t="inlineStr">
        <is>
          <t>¿Trabajo o activo?</t>
        </is>
      </c>
    </row>
    <row r="5">
      <c r="A5" s="48" t="n">
        <v>46266</v>
      </c>
      <c r="B5" s="44" t="inlineStr">
        <is>
          <t>Sueldo</t>
        </is>
      </c>
      <c r="C5" s="44" t="inlineStr">
        <is>
          <t>Quincena 1</t>
        </is>
      </c>
      <c r="D5" s="45" t="n">
        <v>11500</v>
      </c>
      <c r="E5" s="49">
        <f>IF(A5="","",DATE(YEAR(A5),MONTH(A5),1))</f>
        <v/>
      </c>
      <c r="F5" s="24">
        <f>IF(B5="","",IF(B5="Ingreso pasivo","Activo (pasivo)","Trabajo (activo)"))</f>
        <v/>
      </c>
    </row>
    <row r="6">
      <c r="A6" s="48" t="n">
        <v>46275</v>
      </c>
      <c r="B6" s="44" t="inlineStr">
        <is>
          <t>Ingreso pasivo</t>
        </is>
      </c>
      <c r="C6" s="44" t="inlineStr">
        <is>
          <t>Rendimiento CETES</t>
        </is>
      </c>
      <c r="D6" s="45" t="n">
        <v>280</v>
      </c>
      <c r="E6" s="49">
        <f>IF(A6="","",DATE(YEAR(A6),MONTH(A6),1))</f>
        <v/>
      </c>
      <c r="F6" s="24">
        <f>IF(B6="","",IF(B6="Ingreso pasivo","Activo (pasivo)","Trabajo (activo)"))</f>
        <v/>
      </c>
    </row>
    <row r="7">
      <c r="A7" s="48" t="n">
        <v>46280</v>
      </c>
      <c r="B7" s="44" t="inlineStr">
        <is>
          <t>Sueldo</t>
        </is>
      </c>
      <c r="C7" s="44" t="inlineStr">
        <is>
          <t>Quincena 2</t>
        </is>
      </c>
      <c r="D7" s="45" t="n">
        <v>11500</v>
      </c>
      <c r="E7" s="49">
        <f>IF(A7="","",DATE(YEAR(A7),MONTH(A7),1))</f>
        <v/>
      </c>
      <c r="F7" s="24">
        <f>IF(B7="","",IF(B7="Ingreso pasivo","Activo (pasivo)","Trabajo (activo)"))</f>
        <v/>
      </c>
    </row>
    <row r="8">
      <c r="A8" s="48" t="n">
        <v>46285</v>
      </c>
      <c r="B8" s="44" t="inlineStr">
        <is>
          <t>Negocio</t>
        </is>
      </c>
      <c r="C8" s="44" t="inlineStr">
        <is>
          <t>Venta de postres</t>
        </is>
      </c>
      <c r="D8" s="45" t="n">
        <v>3400</v>
      </c>
      <c r="E8" s="49">
        <f>IF(A8="","",DATE(YEAR(A8),MONTH(A8),1))</f>
        <v/>
      </c>
      <c r="F8" s="24">
        <f>IF(B8="","",IF(B8="Ingreso pasivo","Activo (pasivo)","Trabajo (activo)"))</f>
        <v/>
      </c>
    </row>
    <row r="9">
      <c r="A9" s="48" t="n"/>
      <c r="B9" s="44" t="n"/>
      <c r="C9" s="44" t="n"/>
      <c r="D9" s="45" t="n"/>
      <c r="E9" s="49">
        <f>IF(A9="","",DATE(YEAR(A9),MONTH(A9),1))</f>
        <v/>
      </c>
      <c r="F9" s="24">
        <f>IF(B9="","",IF(B9="Ingreso pasivo","Activo (pasivo)","Trabajo (activo)"))</f>
        <v/>
      </c>
    </row>
    <row r="10">
      <c r="A10" s="48" t="n"/>
      <c r="B10" s="44" t="n"/>
      <c r="C10" s="44" t="n"/>
      <c r="D10" s="45" t="n"/>
      <c r="E10" s="49">
        <f>IF(A10="","",DATE(YEAR(A10),MONTH(A10),1))</f>
        <v/>
      </c>
      <c r="F10" s="24">
        <f>IF(B10="","",IF(B10="Ingreso pasivo","Activo (pasivo)","Trabajo (activo)"))</f>
        <v/>
      </c>
    </row>
    <row r="11">
      <c r="A11" s="48" t="n"/>
      <c r="B11" s="44" t="n"/>
      <c r="C11" s="44" t="n"/>
      <c r="D11" s="45" t="n"/>
      <c r="E11" s="49">
        <f>IF(A11="","",DATE(YEAR(A11),MONTH(A11),1))</f>
        <v/>
      </c>
      <c r="F11" s="24">
        <f>IF(B11="","",IF(B11="Ingreso pasivo","Activo (pasivo)","Trabajo (activo)"))</f>
        <v/>
      </c>
    </row>
    <row r="12">
      <c r="A12" s="48" t="n"/>
      <c r="B12" s="44" t="n"/>
      <c r="C12" s="44" t="n"/>
      <c r="D12" s="45" t="n"/>
      <c r="E12" s="49">
        <f>IF(A12="","",DATE(YEAR(A12),MONTH(A12),1))</f>
        <v/>
      </c>
      <c r="F12" s="24">
        <f>IF(B12="","",IF(B12="Ingreso pasivo","Activo (pasivo)","Trabajo (activo)"))</f>
        <v/>
      </c>
    </row>
    <row r="13">
      <c r="A13" s="48" t="n"/>
      <c r="B13" s="44" t="n"/>
      <c r="C13" s="44" t="n"/>
      <c r="D13" s="45" t="n"/>
      <c r="E13" s="49">
        <f>IF(A13="","",DATE(YEAR(A13),MONTH(A13),1))</f>
        <v/>
      </c>
      <c r="F13" s="24">
        <f>IF(B13="","",IF(B13="Ingreso pasivo","Activo (pasivo)","Trabajo (activo)"))</f>
        <v/>
      </c>
    </row>
    <row r="14">
      <c r="A14" s="48" t="n"/>
      <c r="B14" s="44" t="n"/>
      <c r="C14" s="44" t="n"/>
      <c r="D14" s="45" t="n"/>
      <c r="E14" s="49">
        <f>IF(A14="","",DATE(YEAR(A14),MONTH(A14),1))</f>
        <v/>
      </c>
      <c r="F14" s="24">
        <f>IF(B14="","",IF(B14="Ingreso pasivo","Activo (pasivo)","Trabajo (activo)"))</f>
        <v/>
      </c>
    </row>
    <row r="15">
      <c r="A15" s="48" t="n"/>
      <c r="B15" s="44" t="n"/>
      <c r="C15" s="44" t="n"/>
      <c r="D15" s="45" t="n"/>
      <c r="E15" s="49">
        <f>IF(A15="","",DATE(YEAR(A15),MONTH(A15),1))</f>
        <v/>
      </c>
      <c r="F15" s="24">
        <f>IF(B15="","",IF(B15="Ingreso pasivo","Activo (pasivo)","Trabajo (activo)"))</f>
        <v/>
      </c>
    </row>
    <row r="16">
      <c r="A16" s="48" t="n"/>
      <c r="B16" s="44" t="n"/>
      <c r="C16" s="44" t="n"/>
      <c r="D16" s="45" t="n"/>
      <c r="E16" s="49">
        <f>IF(A16="","",DATE(YEAR(A16),MONTH(A16),1))</f>
        <v/>
      </c>
      <c r="F16" s="24">
        <f>IF(B16="","",IF(B16="Ingreso pasivo","Activo (pasivo)","Trabajo (activo)"))</f>
        <v/>
      </c>
    </row>
    <row r="17">
      <c r="A17" s="48" t="n"/>
      <c r="B17" s="44" t="n"/>
      <c r="C17" s="44" t="n"/>
      <c r="D17" s="45" t="n"/>
      <c r="E17" s="49">
        <f>IF(A17="","",DATE(YEAR(A17),MONTH(A17),1))</f>
        <v/>
      </c>
      <c r="F17" s="24">
        <f>IF(B17="","",IF(B17="Ingreso pasivo","Activo (pasivo)","Trabajo (activo)"))</f>
        <v/>
      </c>
    </row>
    <row r="18">
      <c r="A18" s="48" t="n"/>
      <c r="B18" s="44" t="n"/>
      <c r="C18" s="44" t="n"/>
      <c r="D18" s="45" t="n"/>
      <c r="E18" s="49">
        <f>IF(A18="","",DATE(YEAR(A18),MONTH(A18),1))</f>
        <v/>
      </c>
      <c r="F18" s="24">
        <f>IF(B18="","",IF(B18="Ingreso pasivo","Activo (pasivo)","Trabajo (activo)"))</f>
        <v/>
      </c>
    </row>
    <row r="19">
      <c r="A19" s="48" t="n"/>
      <c r="B19" s="44" t="n"/>
      <c r="C19" s="44" t="n"/>
      <c r="D19" s="45" t="n"/>
      <c r="E19" s="49">
        <f>IF(A19="","",DATE(YEAR(A19),MONTH(A19),1))</f>
        <v/>
      </c>
      <c r="F19" s="24">
        <f>IF(B19="","",IF(B19="Ingreso pasivo","Activo (pasivo)","Trabajo (activo)"))</f>
        <v/>
      </c>
    </row>
    <row r="20">
      <c r="A20" s="48" t="n"/>
      <c r="B20" s="44" t="n"/>
      <c r="C20" s="44" t="n"/>
      <c r="D20" s="45" t="n"/>
      <c r="E20" s="49">
        <f>IF(A20="","",DATE(YEAR(A20),MONTH(A20),1))</f>
        <v/>
      </c>
      <c r="F20" s="24">
        <f>IF(B20="","",IF(B20="Ingreso pasivo","Activo (pasivo)","Trabajo (activo)"))</f>
        <v/>
      </c>
    </row>
    <row r="21">
      <c r="A21" s="48" t="n"/>
      <c r="B21" s="44" t="n"/>
      <c r="C21" s="44" t="n"/>
      <c r="D21" s="45" t="n"/>
      <c r="E21" s="49">
        <f>IF(A21="","",DATE(YEAR(A21),MONTH(A21),1))</f>
        <v/>
      </c>
      <c r="F21" s="24">
        <f>IF(B21="","",IF(B21="Ingreso pasivo","Activo (pasivo)","Trabajo (activo)"))</f>
        <v/>
      </c>
    </row>
    <row r="22">
      <c r="A22" s="48" t="n"/>
      <c r="B22" s="44" t="n"/>
      <c r="C22" s="44" t="n"/>
      <c r="D22" s="45" t="n"/>
      <c r="E22" s="49">
        <f>IF(A22="","",DATE(YEAR(A22),MONTH(A22),1))</f>
        <v/>
      </c>
      <c r="F22" s="24">
        <f>IF(B22="","",IF(B22="Ingreso pasivo","Activo (pasivo)","Trabajo (activo)"))</f>
        <v/>
      </c>
    </row>
    <row r="23">
      <c r="A23" s="48" t="n"/>
      <c r="B23" s="44" t="n"/>
      <c r="C23" s="44" t="n"/>
      <c r="D23" s="45" t="n"/>
      <c r="E23" s="49">
        <f>IF(A23="","",DATE(YEAR(A23),MONTH(A23),1))</f>
        <v/>
      </c>
      <c r="F23" s="24">
        <f>IF(B23="","",IF(B23="Ingreso pasivo","Activo (pasivo)","Trabajo (activo)"))</f>
        <v/>
      </c>
    </row>
    <row r="24">
      <c r="A24" s="48" t="n"/>
      <c r="B24" s="44" t="n"/>
      <c r="C24" s="44" t="n"/>
      <c r="D24" s="45" t="n"/>
      <c r="E24" s="49">
        <f>IF(A24="","",DATE(YEAR(A24),MONTH(A24),1))</f>
        <v/>
      </c>
      <c r="F24" s="24">
        <f>IF(B24="","",IF(B24="Ingreso pasivo","Activo (pasivo)","Trabajo (activo)"))</f>
        <v/>
      </c>
    </row>
    <row r="25">
      <c r="A25" s="48" t="n"/>
      <c r="B25" s="44" t="n"/>
      <c r="C25" s="44" t="n"/>
      <c r="D25" s="45" t="n"/>
      <c r="E25" s="49">
        <f>IF(A25="","",DATE(YEAR(A25),MONTH(A25),1))</f>
        <v/>
      </c>
      <c r="F25" s="24">
        <f>IF(B25="","",IF(B25="Ingreso pasivo","Activo (pasivo)","Trabajo (activo)"))</f>
        <v/>
      </c>
    </row>
    <row r="26">
      <c r="A26" s="48" t="n"/>
      <c r="B26" s="44" t="n"/>
      <c r="C26" s="44" t="n"/>
      <c r="D26" s="45" t="n"/>
      <c r="E26" s="49">
        <f>IF(A26="","",DATE(YEAR(A26),MONTH(A26),1))</f>
        <v/>
      </c>
      <c r="F26" s="24">
        <f>IF(B26="","",IF(B26="Ingreso pasivo","Activo (pasivo)","Trabajo (activo)"))</f>
        <v/>
      </c>
    </row>
    <row r="27">
      <c r="A27" s="48" t="n"/>
      <c r="B27" s="44" t="n"/>
      <c r="C27" s="44" t="n"/>
      <c r="D27" s="45" t="n"/>
      <c r="E27" s="49">
        <f>IF(A27="","",DATE(YEAR(A27),MONTH(A27),1))</f>
        <v/>
      </c>
      <c r="F27" s="24">
        <f>IF(B27="","",IF(B27="Ingreso pasivo","Activo (pasivo)","Trabajo (activo)"))</f>
        <v/>
      </c>
    </row>
    <row r="28">
      <c r="A28" s="48" t="n"/>
      <c r="B28" s="44" t="n"/>
      <c r="C28" s="44" t="n"/>
      <c r="D28" s="45" t="n"/>
      <c r="E28" s="49">
        <f>IF(A28="","",DATE(YEAR(A28),MONTH(A28),1))</f>
        <v/>
      </c>
      <c r="F28" s="24">
        <f>IF(B28="","",IF(B28="Ingreso pasivo","Activo (pasivo)","Trabajo (activo)"))</f>
        <v/>
      </c>
    </row>
    <row r="29">
      <c r="A29" s="48" t="n"/>
      <c r="B29" s="44" t="n"/>
      <c r="C29" s="44" t="n"/>
      <c r="D29" s="45" t="n"/>
      <c r="E29" s="49">
        <f>IF(A29="","",DATE(YEAR(A29),MONTH(A29),1))</f>
        <v/>
      </c>
      <c r="F29" s="24">
        <f>IF(B29="","",IF(B29="Ingreso pasivo","Activo (pasivo)","Trabajo (activo)"))</f>
        <v/>
      </c>
    </row>
    <row r="30">
      <c r="A30" s="48" t="n"/>
      <c r="B30" s="44" t="n"/>
      <c r="C30" s="44" t="n"/>
      <c r="D30" s="45" t="n"/>
      <c r="E30" s="49">
        <f>IF(A30="","",DATE(YEAR(A30),MONTH(A30),1))</f>
        <v/>
      </c>
      <c r="F30" s="24">
        <f>IF(B30="","",IF(B30="Ingreso pasivo","Activo (pasivo)","Trabajo (activo)"))</f>
        <v/>
      </c>
    </row>
    <row r="31">
      <c r="A31" s="48" t="n"/>
      <c r="B31" s="44" t="n"/>
      <c r="C31" s="44" t="n"/>
      <c r="D31" s="45" t="n"/>
      <c r="E31" s="49">
        <f>IF(A31="","",DATE(YEAR(A31),MONTH(A31),1))</f>
        <v/>
      </c>
      <c r="F31" s="24">
        <f>IF(B31="","",IF(B31="Ingreso pasivo","Activo (pasivo)","Trabajo (activo)"))</f>
        <v/>
      </c>
    </row>
    <row r="32">
      <c r="A32" s="48" t="n"/>
      <c r="B32" s="44" t="n"/>
      <c r="C32" s="44" t="n"/>
      <c r="D32" s="45" t="n"/>
      <c r="E32" s="49">
        <f>IF(A32="","",DATE(YEAR(A32),MONTH(A32),1))</f>
        <v/>
      </c>
      <c r="F32" s="24">
        <f>IF(B32="","",IF(B32="Ingreso pasivo","Activo (pasivo)","Trabajo (activo)"))</f>
        <v/>
      </c>
    </row>
    <row r="33">
      <c r="A33" s="48" t="n"/>
      <c r="B33" s="44" t="n"/>
      <c r="C33" s="44" t="n"/>
      <c r="D33" s="45" t="n"/>
      <c r="E33" s="49">
        <f>IF(A33="","",DATE(YEAR(A33),MONTH(A33),1))</f>
        <v/>
      </c>
      <c r="F33" s="24">
        <f>IF(B33="","",IF(B33="Ingreso pasivo","Activo (pasivo)","Trabajo (activo)"))</f>
        <v/>
      </c>
    </row>
    <row r="34">
      <c r="A34" s="48" t="n"/>
      <c r="B34" s="44" t="n"/>
      <c r="C34" s="44" t="n"/>
      <c r="D34" s="45" t="n"/>
      <c r="E34" s="49">
        <f>IF(A34="","",DATE(YEAR(A34),MONTH(A34),1))</f>
        <v/>
      </c>
      <c r="F34" s="24">
        <f>IF(B34="","",IF(B34="Ingreso pasivo","Activo (pasivo)","Trabajo (activo)"))</f>
        <v/>
      </c>
    </row>
    <row r="35">
      <c r="A35" s="48" t="n"/>
      <c r="B35" s="44" t="n"/>
      <c r="C35" s="44" t="n"/>
      <c r="D35" s="45" t="n"/>
      <c r="E35" s="49">
        <f>IF(A35="","",DATE(YEAR(A35),MONTH(A35),1))</f>
        <v/>
      </c>
      <c r="F35" s="24">
        <f>IF(B35="","",IF(B35="Ingreso pasivo","Activo (pasivo)","Trabajo (activo)"))</f>
        <v/>
      </c>
    </row>
    <row r="36">
      <c r="A36" s="48" t="n"/>
      <c r="B36" s="44" t="n"/>
      <c r="C36" s="44" t="n"/>
      <c r="D36" s="45" t="n"/>
      <c r="E36" s="49">
        <f>IF(A36="","",DATE(YEAR(A36),MONTH(A36),1))</f>
        <v/>
      </c>
      <c r="F36" s="24">
        <f>IF(B36="","",IF(B36="Ingreso pasivo","Activo (pasivo)","Trabajo (activo)"))</f>
        <v/>
      </c>
    </row>
    <row r="37">
      <c r="A37" s="48" t="n"/>
      <c r="B37" s="44" t="n"/>
      <c r="C37" s="44" t="n"/>
      <c r="D37" s="45" t="n"/>
      <c r="E37" s="49">
        <f>IF(A37="","",DATE(YEAR(A37),MONTH(A37),1))</f>
        <v/>
      </c>
      <c r="F37" s="24">
        <f>IF(B37="","",IF(B37="Ingreso pasivo","Activo (pasivo)","Trabajo (activo)"))</f>
        <v/>
      </c>
    </row>
    <row r="38">
      <c r="A38" s="48" t="n"/>
      <c r="B38" s="44" t="n"/>
      <c r="C38" s="44" t="n"/>
      <c r="D38" s="45" t="n"/>
      <c r="E38" s="49">
        <f>IF(A38="","",DATE(YEAR(A38),MONTH(A38),1))</f>
        <v/>
      </c>
      <c r="F38" s="24">
        <f>IF(B38="","",IF(B38="Ingreso pasivo","Activo (pasivo)","Trabajo (activo)"))</f>
        <v/>
      </c>
    </row>
    <row r="39">
      <c r="A39" s="48" t="n"/>
      <c r="B39" s="44" t="n"/>
      <c r="C39" s="44" t="n"/>
      <c r="D39" s="45" t="n"/>
      <c r="E39" s="49">
        <f>IF(A39="","",DATE(YEAR(A39),MONTH(A39),1))</f>
        <v/>
      </c>
      <c r="F39" s="24">
        <f>IF(B39="","",IF(B39="Ingreso pasivo","Activo (pasivo)","Trabajo (activo)"))</f>
        <v/>
      </c>
    </row>
    <row r="40">
      <c r="A40" s="48" t="n"/>
      <c r="B40" s="44" t="n"/>
      <c r="C40" s="44" t="n"/>
      <c r="D40" s="45" t="n"/>
      <c r="E40" s="49">
        <f>IF(A40="","",DATE(YEAR(A40),MONTH(A40),1))</f>
        <v/>
      </c>
      <c r="F40" s="24">
        <f>IF(B40="","",IF(B40="Ingreso pasivo","Activo (pasivo)","Trabajo (activo)"))</f>
        <v/>
      </c>
    </row>
    <row r="41">
      <c r="A41" s="48" t="n"/>
      <c r="B41" s="44" t="n"/>
      <c r="C41" s="44" t="n"/>
      <c r="D41" s="45" t="n"/>
      <c r="E41" s="49">
        <f>IF(A41="","",DATE(YEAR(A41),MONTH(A41),1))</f>
        <v/>
      </c>
      <c r="F41" s="24">
        <f>IF(B41="","",IF(B41="Ingreso pasivo","Activo (pasivo)","Trabajo (activo)"))</f>
        <v/>
      </c>
    </row>
    <row r="42">
      <c r="A42" s="48" t="n"/>
      <c r="B42" s="44" t="n"/>
      <c r="C42" s="44" t="n"/>
      <c r="D42" s="45" t="n"/>
      <c r="E42" s="49">
        <f>IF(A42="","",DATE(YEAR(A42),MONTH(A42),1))</f>
        <v/>
      </c>
      <c r="F42" s="24">
        <f>IF(B42="","",IF(B42="Ingreso pasivo","Activo (pasivo)","Trabajo (activo)"))</f>
        <v/>
      </c>
    </row>
    <row r="43">
      <c r="A43" s="48" t="n"/>
      <c r="B43" s="44" t="n"/>
      <c r="C43" s="44" t="n"/>
      <c r="D43" s="45" t="n"/>
      <c r="E43" s="49">
        <f>IF(A43="","",DATE(YEAR(A43),MONTH(A43),1))</f>
        <v/>
      </c>
      <c r="F43" s="24">
        <f>IF(B43="","",IF(B43="Ingreso pasivo","Activo (pasivo)","Trabajo (activo)"))</f>
        <v/>
      </c>
    </row>
    <row r="44">
      <c r="A44" s="48" t="n"/>
      <c r="B44" s="44" t="n"/>
      <c r="C44" s="44" t="n"/>
      <c r="D44" s="45" t="n"/>
      <c r="E44" s="49">
        <f>IF(A44="","",DATE(YEAR(A44),MONTH(A44),1))</f>
        <v/>
      </c>
      <c r="F44" s="24">
        <f>IF(B44="","",IF(B44="Ingreso pasivo","Activo (pasivo)","Trabajo (activo)"))</f>
        <v/>
      </c>
    </row>
    <row r="45">
      <c r="A45" s="48" t="n"/>
      <c r="B45" s="44" t="n"/>
      <c r="C45" s="44" t="n"/>
      <c r="D45" s="45" t="n"/>
      <c r="E45" s="49">
        <f>IF(A45="","",DATE(YEAR(A45),MONTH(A45),1))</f>
        <v/>
      </c>
      <c r="F45" s="24">
        <f>IF(B45="","",IF(B45="Ingreso pasivo","Activo (pasivo)","Trabajo (activo)"))</f>
        <v/>
      </c>
    </row>
    <row r="46">
      <c r="A46" s="48" t="n"/>
      <c r="B46" s="44" t="n"/>
      <c r="C46" s="44" t="n"/>
      <c r="D46" s="45" t="n"/>
      <c r="E46" s="49">
        <f>IF(A46="","",DATE(YEAR(A46),MONTH(A46),1))</f>
        <v/>
      </c>
      <c r="F46" s="24">
        <f>IF(B46="","",IF(B46="Ingreso pasivo","Activo (pasivo)","Trabajo (activo)"))</f>
        <v/>
      </c>
    </row>
    <row r="47">
      <c r="A47" s="48" t="n"/>
      <c r="B47" s="44" t="n"/>
      <c r="C47" s="44" t="n"/>
      <c r="D47" s="45" t="n"/>
      <c r="E47" s="49">
        <f>IF(A47="","",DATE(YEAR(A47),MONTH(A47),1))</f>
        <v/>
      </c>
      <c r="F47" s="24">
        <f>IF(B47="","",IF(B47="Ingreso pasivo","Activo (pasivo)","Trabajo (activo)"))</f>
        <v/>
      </c>
    </row>
    <row r="48">
      <c r="A48" s="48" t="n"/>
      <c r="B48" s="44" t="n"/>
      <c r="C48" s="44" t="n"/>
      <c r="D48" s="45" t="n"/>
      <c r="E48" s="49">
        <f>IF(A48="","",DATE(YEAR(A48),MONTH(A48),1))</f>
        <v/>
      </c>
      <c r="F48" s="24">
        <f>IF(B48="","",IF(B48="Ingreso pasivo","Activo (pasivo)","Trabajo (activo)"))</f>
        <v/>
      </c>
    </row>
    <row r="49">
      <c r="A49" s="48" t="n"/>
      <c r="B49" s="44" t="n"/>
      <c r="C49" s="44" t="n"/>
      <c r="D49" s="45" t="n"/>
      <c r="E49" s="49">
        <f>IF(A49="","",DATE(YEAR(A49),MONTH(A49),1))</f>
        <v/>
      </c>
      <c r="F49" s="24">
        <f>IF(B49="","",IF(B49="Ingreso pasivo","Activo (pasivo)","Trabajo (activo)"))</f>
        <v/>
      </c>
    </row>
    <row r="50">
      <c r="A50" s="48" t="n"/>
      <c r="B50" s="44" t="n"/>
      <c r="C50" s="44" t="n"/>
      <c r="D50" s="45" t="n"/>
      <c r="E50" s="49">
        <f>IF(A50="","",DATE(YEAR(A50),MONTH(A50),1))</f>
        <v/>
      </c>
      <c r="F50" s="24">
        <f>IF(B50="","",IF(B50="Ingreso pasivo","Activo (pasivo)","Trabajo (activo)"))</f>
        <v/>
      </c>
    </row>
    <row r="51">
      <c r="A51" s="48" t="n"/>
      <c r="B51" s="44" t="n"/>
      <c r="C51" s="44" t="n"/>
      <c r="D51" s="45" t="n"/>
      <c r="E51" s="49">
        <f>IF(A51="","",DATE(YEAR(A51),MONTH(A51),1))</f>
        <v/>
      </c>
      <c r="F51" s="24">
        <f>IF(B51="","",IF(B51="Ingreso pasivo","Activo (pasivo)","Trabajo (activo)"))</f>
        <v/>
      </c>
    </row>
    <row r="52">
      <c r="A52" s="48" t="n"/>
      <c r="B52" s="44" t="n"/>
      <c r="C52" s="44" t="n"/>
      <c r="D52" s="45" t="n"/>
      <c r="E52" s="49">
        <f>IF(A52="","",DATE(YEAR(A52),MONTH(A52),1))</f>
        <v/>
      </c>
      <c r="F52" s="24">
        <f>IF(B52="","",IF(B52="Ingreso pasivo","Activo (pasivo)","Trabajo (activo)"))</f>
        <v/>
      </c>
    </row>
    <row r="53">
      <c r="A53" s="48" t="n"/>
      <c r="B53" s="44" t="n"/>
      <c r="C53" s="44" t="n"/>
      <c r="D53" s="45" t="n"/>
      <c r="E53" s="49">
        <f>IF(A53="","",DATE(YEAR(A53),MONTH(A53),1))</f>
        <v/>
      </c>
      <c r="F53" s="24">
        <f>IF(B53="","",IF(B53="Ingreso pasivo","Activo (pasivo)","Trabajo (activo)"))</f>
        <v/>
      </c>
    </row>
    <row r="54">
      <c r="A54" s="48" t="n"/>
      <c r="B54" s="44" t="n"/>
      <c r="C54" s="44" t="n"/>
      <c r="D54" s="45" t="n"/>
      <c r="E54" s="49">
        <f>IF(A54="","",DATE(YEAR(A54),MONTH(A54),1))</f>
        <v/>
      </c>
      <c r="F54" s="24">
        <f>IF(B54="","",IF(B54="Ingreso pasivo","Activo (pasivo)","Trabajo (activo)"))</f>
        <v/>
      </c>
    </row>
    <row r="55">
      <c r="A55" s="48" t="n"/>
      <c r="B55" s="44" t="n"/>
      <c r="C55" s="44" t="n"/>
      <c r="D55" s="45" t="n"/>
      <c r="E55" s="49">
        <f>IF(A55="","",DATE(YEAR(A55),MONTH(A55),1))</f>
        <v/>
      </c>
      <c r="F55" s="24">
        <f>IF(B55="","",IF(B55="Ingreso pasivo","Activo (pasivo)","Trabajo (activo)"))</f>
        <v/>
      </c>
    </row>
    <row r="56">
      <c r="A56" s="48" t="n"/>
      <c r="B56" s="44" t="n"/>
      <c r="C56" s="44" t="n"/>
      <c r="D56" s="45" t="n"/>
      <c r="E56" s="49">
        <f>IF(A56="","",DATE(YEAR(A56),MONTH(A56),1))</f>
        <v/>
      </c>
      <c r="F56" s="24">
        <f>IF(B56="","",IF(B56="Ingreso pasivo","Activo (pasivo)","Trabajo (activo)"))</f>
        <v/>
      </c>
    </row>
    <row r="57">
      <c r="A57" s="48" t="n"/>
      <c r="B57" s="44" t="n"/>
      <c r="C57" s="44" t="n"/>
      <c r="D57" s="45" t="n"/>
      <c r="E57" s="49">
        <f>IF(A57="","",DATE(YEAR(A57),MONTH(A57),1))</f>
        <v/>
      </c>
      <c r="F57" s="24">
        <f>IF(B57="","",IF(B57="Ingreso pasivo","Activo (pasivo)","Trabajo (activo)"))</f>
        <v/>
      </c>
    </row>
    <row r="58">
      <c r="A58" s="48" t="n"/>
      <c r="B58" s="44" t="n"/>
      <c r="C58" s="44" t="n"/>
      <c r="D58" s="45" t="n"/>
      <c r="E58" s="49">
        <f>IF(A58="","",DATE(YEAR(A58),MONTH(A58),1))</f>
        <v/>
      </c>
      <c r="F58" s="24">
        <f>IF(B58="","",IF(B58="Ingreso pasivo","Activo (pasivo)","Trabajo (activo)"))</f>
        <v/>
      </c>
    </row>
    <row r="59">
      <c r="A59" s="48" t="n"/>
      <c r="B59" s="44" t="n"/>
      <c r="C59" s="44" t="n"/>
      <c r="D59" s="45" t="n"/>
      <c r="E59" s="49">
        <f>IF(A59="","",DATE(YEAR(A59),MONTH(A59),1))</f>
        <v/>
      </c>
      <c r="F59" s="24">
        <f>IF(B59="","",IF(B59="Ingreso pasivo","Activo (pasivo)","Trabajo (activo)"))</f>
        <v/>
      </c>
    </row>
    <row r="60">
      <c r="A60" s="48" t="n"/>
      <c r="B60" s="44" t="n"/>
      <c r="C60" s="44" t="n"/>
      <c r="D60" s="45" t="n"/>
      <c r="E60" s="49">
        <f>IF(A60="","",DATE(YEAR(A60),MONTH(A60),1))</f>
        <v/>
      </c>
      <c r="F60" s="24">
        <f>IF(B60="","",IF(B60="Ingreso pasivo","Activo (pasivo)","Trabajo (activo)"))</f>
        <v/>
      </c>
    </row>
    <row r="61">
      <c r="A61" s="48" t="n"/>
      <c r="B61" s="44" t="n"/>
      <c r="C61" s="44" t="n"/>
      <c r="D61" s="45" t="n"/>
      <c r="E61" s="49">
        <f>IF(A61="","",DATE(YEAR(A61),MONTH(A61),1))</f>
        <v/>
      </c>
      <c r="F61" s="24">
        <f>IF(B61="","",IF(B61="Ingreso pasivo","Activo (pasivo)","Trabajo (activo)"))</f>
        <v/>
      </c>
    </row>
    <row r="62">
      <c r="A62" s="48" t="n"/>
      <c r="B62" s="44" t="n"/>
      <c r="C62" s="44" t="n"/>
      <c r="D62" s="45" t="n"/>
      <c r="E62" s="49">
        <f>IF(A62="","",DATE(YEAR(A62),MONTH(A62),1))</f>
        <v/>
      </c>
      <c r="F62" s="24">
        <f>IF(B62="","",IF(B62="Ingreso pasivo","Activo (pasivo)","Trabajo (activo)"))</f>
        <v/>
      </c>
    </row>
    <row r="63">
      <c r="A63" s="48" t="n"/>
      <c r="B63" s="44" t="n"/>
      <c r="C63" s="44" t="n"/>
      <c r="D63" s="45" t="n"/>
      <c r="E63" s="49">
        <f>IF(A63="","",DATE(YEAR(A63),MONTH(A63),1))</f>
        <v/>
      </c>
      <c r="F63" s="24">
        <f>IF(B63="","",IF(B63="Ingreso pasivo","Activo (pasivo)","Trabajo (activo)"))</f>
        <v/>
      </c>
    </row>
    <row r="64">
      <c r="A64" s="48" t="n"/>
      <c r="B64" s="44" t="n"/>
      <c r="C64" s="44" t="n"/>
      <c r="D64" s="45" t="n"/>
      <c r="E64" s="49">
        <f>IF(A64="","",DATE(YEAR(A64),MONTH(A64),1))</f>
        <v/>
      </c>
      <c r="F64" s="24">
        <f>IF(B64="","",IF(B64="Ingreso pasivo","Activo (pasivo)","Trabajo (activo)"))</f>
        <v/>
      </c>
    </row>
    <row r="65">
      <c r="A65" s="48" t="n"/>
      <c r="B65" s="44" t="n"/>
      <c r="C65" s="44" t="n"/>
      <c r="D65" s="45" t="n"/>
      <c r="E65" s="49">
        <f>IF(A65="","",DATE(YEAR(A65),MONTH(A65),1))</f>
        <v/>
      </c>
      <c r="F65" s="24">
        <f>IF(B65="","",IF(B65="Ingreso pasivo","Activo (pasivo)","Trabajo (activo)"))</f>
        <v/>
      </c>
    </row>
    <row r="66">
      <c r="A66" s="48" t="n"/>
      <c r="B66" s="44" t="n"/>
      <c r="C66" s="44" t="n"/>
      <c r="D66" s="45" t="n"/>
      <c r="E66" s="49">
        <f>IF(A66="","",DATE(YEAR(A66),MONTH(A66),1))</f>
        <v/>
      </c>
      <c r="F66" s="24">
        <f>IF(B66="","",IF(B66="Ingreso pasivo","Activo (pasivo)","Trabajo (activo)"))</f>
        <v/>
      </c>
    </row>
    <row r="67">
      <c r="A67" s="48" t="n"/>
      <c r="B67" s="44" t="n"/>
      <c r="C67" s="44" t="n"/>
      <c r="D67" s="45" t="n"/>
      <c r="E67" s="49">
        <f>IF(A67="","",DATE(YEAR(A67),MONTH(A67),1))</f>
        <v/>
      </c>
      <c r="F67" s="24">
        <f>IF(B67="","",IF(B67="Ingreso pasivo","Activo (pasivo)","Trabajo (activo)"))</f>
        <v/>
      </c>
    </row>
    <row r="68">
      <c r="A68" s="48" t="n"/>
      <c r="B68" s="44" t="n"/>
      <c r="C68" s="44" t="n"/>
      <c r="D68" s="45" t="n"/>
      <c r="E68" s="49">
        <f>IF(A68="","",DATE(YEAR(A68),MONTH(A68),1))</f>
        <v/>
      </c>
      <c r="F68" s="24">
        <f>IF(B68="","",IF(B68="Ingreso pasivo","Activo (pasivo)","Trabajo (activo)"))</f>
        <v/>
      </c>
    </row>
    <row r="69">
      <c r="A69" s="48" t="n"/>
      <c r="B69" s="44" t="n"/>
      <c r="C69" s="44" t="n"/>
      <c r="D69" s="45" t="n"/>
      <c r="E69" s="49">
        <f>IF(A69="","",DATE(YEAR(A69),MONTH(A69),1))</f>
        <v/>
      </c>
      <c r="F69" s="24">
        <f>IF(B69="","",IF(B69="Ingreso pasivo","Activo (pasivo)","Trabajo (activo)"))</f>
        <v/>
      </c>
    </row>
    <row r="70">
      <c r="A70" s="48" t="n"/>
      <c r="B70" s="44" t="n"/>
      <c r="C70" s="44" t="n"/>
      <c r="D70" s="45" t="n"/>
      <c r="E70" s="49">
        <f>IF(A70="","",DATE(YEAR(A70),MONTH(A70),1))</f>
        <v/>
      </c>
      <c r="F70" s="24">
        <f>IF(B70="","",IF(B70="Ingreso pasivo","Activo (pasivo)","Trabajo (activo)"))</f>
        <v/>
      </c>
    </row>
    <row r="71">
      <c r="A71" s="48" t="n"/>
      <c r="B71" s="44" t="n"/>
      <c r="C71" s="44" t="n"/>
      <c r="D71" s="45" t="n"/>
      <c r="E71" s="49">
        <f>IF(A71="","",DATE(YEAR(A71),MONTH(A71),1))</f>
        <v/>
      </c>
      <c r="F71" s="24">
        <f>IF(B71="","",IF(B71="Ingreso pasivo","Activo (pasivo)","Trabajo (activo)"))</f>
        <v/>
      </c>
    </row>
    <row r="72">
      <c r="A72" s="48" t="n"/>
      <c r="B72" s="44" t="n"/>
      <c r="C72" s="44" t="n"/>
      <c r="D72" s="45" t="n"/>
      <c r="E72" s="49">
        <f>IF(A72="","",DATE(YEAR(A72),MONTH(A72),1))</f>
        <v/>
      </c>
      <c r="F72" s="24">
        <f>IF(B72="","",IF(B72="Ingreso pasivo","Activo (pasivo)","Trabajo (activo)"))</f>
        <v/>
      </c>
    </row>
    <row r="73">
      <c r="A73" s="48" t="n"/>
      <c r="B73" s="44" t="n"/>
      <c r="C73" s="44" t="n"/>
      <c r="D73" s="45" t="n"/>
      <c r="E73" s="49">
        <f>IF(A73="","",DATE(YEAR(A73),MONTH(A73),1))</f>
        <v/>
      </c>
      <c r="F73" s="24">
        <f>IF(B73="","",IF(B73="Ingreso pasivo","Activo (pasivo)","Trabajo (activo)"))</f>
        <v/>
      </c>
    </row>
    <row r="74">
      <c r="A74" s="48" t="n"/>
      <c r="B74" s="44" t="n"/>
      <c r="C74" s="44" t="n"/>
      <c r="D74" s="45" t="n"/>
      <c r="E74" s="49">
        <f>IF(A74="","",DATE(YEAR(A74),MONTH(A74),1))</f>
        <v/>
      </c>
      <c r="F74" s="24">
        <f>IF(B74="","",IF(B74="Ingreso pasivo","Activo (pasivo)","Trabajo (activo)"))</f>
        <v/>
      </c>
    </row>
    <row r="75">
      <c r="A75" s="48" t="n"/>
      <c r="B75" s="44" t="n"/>
      <c r="C75" s="44" t="n"/>
      <c r="D75" s="45" t="n"/>
      <c r="E75" s="49">
        <f>IF(A75="","",DATE(YEAR(A75),MONTH(A75),1))</f>
        <v/>
      </c>
      <c r="F75" s="24">
        <f>IF(B75="","",IF(B75="Ingreso pasivo","Activo (pasivo)","Trabajo (activo)"))</f>
        <v/>
      </c>
    </row>
    <row r="76">
      <c r="A76" s="48" t="n"/>
      <c r="B76" s="44" t="n"/>
      <c r="C76" s="44" t="n"/>
      <c r="D76" s="45" t="n"/>
      <c r="E76" s="49">
        <f>IF(A76="","",DATE(YEAR(A76),MONTH(A76),1))</f>
        <v/>
      </c>
      <c r="F76" s="24">
        <f>IF(B76="","",IF(B76="Ingreso pasivo","Activo (pasivo)","Trabajo (activo)"))</f>
        <v/>
      </c>
    </row>
    <row r="77">
      <c r="A77" s="48" t="n"/>
      <c r="B77" s="44" t="n"/>
      <c r="C77" s="44" t="n"/>
      <c r="D77" s="45" t="n"/>
      <c r="E77" s="49">
        <f>IF(A77="","",DATE(YEAR(A77),MONTH(A77),1))</f>
        <v/>
      </c>
      <c r="F77" s="24">
        <f>IF(B77="","",IF(B77="Ingreso pasivo","Activo (pasivo)","Trabajo (activo)"))</f>
        <v/>
      </c>
    </row>
    <row r="78">
      <c r="A78" s="48" t="n"/>
      <c r="B78" s="44" t="n"/>
      <c r="C78" s="44" t="n"/>
      <c r="D78" s="45" t="n"/>
      <c r="E78" s="49">
        <f>IF(A78="","",DATE(YEAR(A78),MONTH(A78),1))</f>
        <v/>
      </c>
      <c r="F78" s="24">
        <f>IF(B78="","",IF(B78="Ingreso pasivo","Activo (pasivo)","Trabajo (activo)"))</f>
        <v/>
      </c>
    </row>
    <row r="79">
      <c r="A79" s="48" t="n"/>
      <c r="B79" s="44" t="n"/>
      <c r="C79" s="44" t="n"/>
      <c r="D79" s="45" t="n"/>
      <c r="E79" s="49">
        <f>IF(A79="","",DATE(YEAR(A79),MONTH(A79),1))</f>
        <v/>
      </c>
      <c r="F79" s="24">
        <f>IF(B79="","",IF(B79="Ingreso pasivo","Activo (pasivo)","Trabajo (activo)"))</f>
        <v/>
      </c>
    </row>
    <row r="80">
      <c r="A80" s="48" t="n"/>
      <c r="B80" s="44" t="n"/>
      <c r="C80" s="44" t="n"/>
      <c r="D80" s="45" t="n"/>
      <c r="E80" s="49">
        <f>IF(A80="","",DATE(YEAR(A80),MONTH(A80),1))</f>
        <v/>
      </c>
      <c r="F80" s="24">
        <f>IF(B80="","",IF(B80="Ingreso pasivo","Activo (pasivo)","Trabajo (activo)"))</f>
        <v/>
      </c>
    </row>
    <row r="81">
      <c r="A81" s="48" t="n"/>
      <c r="B81" s="44" t="n"/>
      <c r="C81" s="44" t="n"/>
      <c r="D81" s="45" t="n"/>
      <c r="E81" s="49">
        <f>IF(A81="","",DATE(YEAR(A81),MONTH(A81),1))</f>
        <v/>
      </c>
      <c r="F81" s="24">
        <f>IF(B81="","",IF(B81="Ingreso pasivo","Activo (pasivo)","Trabajo (activo)"))</f>
        <v/>
      </c>
    </row>
    <row r="82">
      <c r="A82" s="48" t="n"/>
      <c r="B82" s="44" t="n"/>
      <c r="C82" s="44" t="n"/>
      <c r="D82" s="45" t="n"/>
      <c r="E82" s="49">
        <f>IF(A82="","",DATE(YEAR(A82),MONTH(A82),1))</f>
        <v/>
      </c>
      <c r="F82" s="24">
        <f>IF(B82="","",IF(B82="Ingreso pasivo","Activo (pasivo)","Trabajo (activo)"))</f>
        <v/>
      </c>
    </row>
    <row r="83">
      <c r="A83" s="48" t="n"/>
      <c r="B83" s="44" t="n"/>
      <c r="C83" s="44" t="n"/>
      <c r="D83" s="45" t="n"/>
      <c r="E83" s="49">
        <f>IF(A83="","",DATE(YEAR(A83),MONTH(A83),1))</f>
        <v/>
      </c>
      <c r="F83" s="24">
        <f>IF(B83="","",IF(B83="Ingreso pasivo","Activo (pasivo)","Trabajo (activo)"))</f>
        <v/>
      </c>
    </row>
    <row r="84">
      <c r="A84" s="48" t="n"/>
      <c r="B84" s="44" t="n"/>
      <c r="C84" s="44" t="n"/>
      <c r="D84" s="45" t="n"/>
      <c r="E84" s="49">
        <f>IF(A84="","",DATE(YEAR(A84),MONTH(A84),1))</f>
        <v/>
      </c>
      <c r="F84" s="24">
        <f>IF(B84="","",IF(B84="Ingreso pasivo","Activo (pasivo)","Trabajo (activo)"))</f>
        <v/>
      </c>
    </row>
    <row r="85">
      <c r="A85" s="48" t="n"/>
      <c r="B85" s="44" t="n"/>
      <c r="C85" s="44" t="n"/>
      <c r="D85" s="45" t="n"/>
      <c r="E85" s="49">
        <f>IF(A85="","",DATE(YEAR(A85),MONTH(A85),1))</f>
        <v/>
      </c>
      <c r="F85" s="24">
        <f>IF(B85="","",IF(B85="Ingreso pasivo","Activo (pasivo)","Trabajo (activo)"))</f>
        <v/>
      </c>
    </row>
    <row r="86">
      <c r="A86" s="48" t="n"/>
      <c r="B86" s="44" t="n"/>
      <c r="C86" s="44" t="n"/>
      <c r="D86" s="45" t="n"/>
      <c r="E86" s="49">
        <f>IF(A86="","",DATE(YEAR(A86),MONTH(A86),1))</f>
        <v/>
      </c>
      <c r="F86" s="24">
        <f>IF(B86="","",IF(B86="Ingreso pasivo","Activo (pasivo)","Trabajo (activo)"))</f>
        <v/>
      </c>
    </row>
    <row r="87">
      <c r="A87" s="48" t="n"/>
      <c r="B87" s="44" t="n"/>
      <c r="C87" s="44" t="n"/>
      <c r="D87" s="45" t="n"/>
      <c r="E87" s="49">
        <f>IF(A87="","",DATE(YEAR(A87),MONTH(A87),1))</f>
        <v/>
      </c>
      <c r="F87" s="24">
        <f>IF(B87="","",IF(B87="Ingreso pasivo","Activo (pasivo)","Trabajo (activo)"))</f>
        <v/>
      </c>
    </row>
    <row r="88">
      <c r="A88" s="48" t="n"/>
      <c r="B88" s="44" t="n"/>
      <c r="C88" s="44" t="n"/>
      <c r="D88" s="45" t="n"/>
      <c r="E88" s="49">
        <f>IF(A88="","",DATE(YEAR(A88),MONTH(A88),1))</f>
        <v/>
      </c>
      <c r="F88" s="24">
        <f>IF(B88="","",IF(B88="Ingreso pasivo","Activo (pasivo)","Trabajo (activo)"))</f>
        <v/>
      </c>
    </row>
    <row r="89">
      <c r="A89" s="48" t="n"/>
      <c r="B89" s="44" t="n"/>
      <c r="C89" s="44" t="n"/>
      <c r="D89" s="45" t="n"/>
      <c r="E89" s="49">
        <f>IF(A89="","",DATE(YEAR(A89),MONTH(A89),1))</f>
        <v/>
      </c>
      <c r="F89" s="24">
        <f>IF(B89="","",IF(B89="Ingreso pasivo","Activo (pasivo)","Trabajo (activo)"))</f>
        <v/>
      </c>
    </row>
    <row r="90">
      <c r="A90" s="48" t="n"/>
      <c r="B90" s="44" t="n"/>
      <c r="C90" s="44" t="n"/>
      <c r="D90" s="45" t="n"/>
      <c r="E90" s="49">
        <f>IF(A90="","",DATE(YEAR(A90),MONTH(A90),1))</f>
        <v/>
      </c>
      <c r="F90" s="24">
        <f>IF(B90="","",IF(B90="Ingreso pasivo","Activo (pasivo)","Trabajo (activo)"))</f>
        <v/>
      </c>
    </row>
    <row r="91">
      <c r="A91" s="48" t="n"/>
      <c r="B91" s="44" t="n"/>
      <c r="C91" s="44" t="n"/>
      <c r="D91" s="45" t="n"/>
      <c r="E91" s="49">
        <f>IF(A91="","",DATE(YEAR(A91),MONTH(A91),1))</f>
        <v/>
      </c>
      <c r="F91" s="24">
        <f>IF(B91="","",IF(B91="Ingreso pasivo","Activo (pasivo)","Trabajo (activo)"))</f>
        <v/>
      </c>
    </row>
    <row r="92">
      <c r="A92" s="48" t="n"/>
      <c r="B92" s="44" t="n"/>
      <c r="C92" s="44" t="n"/>
      <c r="D92" s="45" t="n"/>
      <c r="E92" s="49">
        <f>IF(A92="","",DATE(YEAR(A92),MONTH(A92),1))</f>
        <v/>
      </c>
      <c r="F92" s="24">
        <f>IF(B92="","",IF(B92="Ingreso pasivo","Activo (pasivo)","Trabajo (activo)"))</f>
        <v/>
      </c>
    </row>
    <row r="93">
      <c r="A93" s="48" t="n"/>
      <c r="B93" s="44" t="n"/>
      <c r="C93" s="44" t="n"/>
      <c r="D93" s="45" t="n"/>
      <c r="E93" s="49">
        <f>IF(A93="","",DATE(YEAR(A93),MONTH(A93),1))</f>
        <v/>
      </c>
      <c r="F93" s="24">
        <f>IF(B93="","",IF(B93="Ingreso pasivo","Activo (pasivo)","Trabajo (activo)"))</f>
        <v/>
      </c>
    </row>
    <row r="94">
      <c r="A94" s="48" t="n"/>
      <c r="B94" s="44" t="n"/>
      <c r="C94" s="44" t="n"/>
      <c r="D94" s="45" t="n"/>
      <c r="E94" s="49">
        <f>IF(A94="","",DATE(YEAR(A94),MONTH(A94),1))</f>
        <v/>
      </c>
      <c r="F94" s="24">
        <f>IF(B94="","",IF(B94="Ingreso pasivo","Activo (pasivo)","Trabajo (activo)"))</f>
        <v/>
      </c>
    </row>
    <row r="95">
      <c r="A95" s="48" t="n"/>
      <c r="B95" s="44" t="n"/>
      <c r="C95" s="44" t="n"/>
      <c r="D95" s="45" t="n"/>
      <c r="E95" s="49">
        <f>IF(A95="","",DATE(YEAR(A95),MONTH(A95),1))</f>
        <v/>
      </c>
      <c r="F95" s="24">
        <f>IF(B95="","",IF(B95="Ingreso pasivo","Activo (pasivo)","Trabajo (activo)"))</f>
        <v/>
      </c>
    </row>
    <row r="96">
      <c r="A96" s="48" t="n"/>
      <c r="B96" s="44" t="n"/>
      <c r="C96" s="44" t="n"/>
      <c r="D96" s="45" t="n"/>
      <c r="E96" s="49">
        <f>IF(A96="","",DATE(YEAR(A96),MONTH(A96),1))</f>
        <v/>
      </c>
      <c r="F96" s="24">
        <f>IF(B96="","",IF(B96="Ingreso pasivo","Activo (pasivo)","Trabajo (activo)"))</f>
        <v/>
      </c>
    </row>
    <row r="97">
      <c r="A97" s="48" t="n"/>
      <c r="B97" s="44" t="n"/>
      <c r="C97" s="44" t="n"/>
      <c r="D97" s="45" t="n"/>
      <c r="E97" s="49">
        <f>IF(A97="","",DATE(YEAR(A97),MONTH(A97),1))</f>
        <v/>
      </c>
      <c r="F97" s="24">
        <f>IF(B97="","",IF(B97="Ingreso pasivo","Activo (pasivo)","Trabajo (activo)"))</f>
        <v/>
      </c>
    </row>
    <row r="98">
      <c r="A98" s="48" t="n"/>
      <c r="B98" s="44" t="n"/>
      <c r="C98" s="44" t="n"/>
      <c r="D98" s="45" t="n"/>
      <c r="E98" s="49">
        <f>IF(A98="","",DATE(YEAR(A98),MONTH(A98),1))</f>
        <v/>
      </c>
      <c r="F98" s="24">
        <f>IF(B98="","",IF(B98="Ingreso pasivo","Activo (pasivo)","Trabajo (activo)"))</f>
        <v/>
      </c>
    </row>
    <row r="99">
      <c r="A99" s="48" t="n"/>
      <c r="B99" s="44" t="n"/>
      <c r="C99" s="44" t="n"/>
      <c r="D99" s="45" t="n"/>
      <c r="E99" s="49">
        <f>IF(A99="","",DATE(YEAR(A99),MONTH(A99),1))</f>
        <v/>
      </c>
      <c r="F99" s="24">
        <f>IF(B99="","",IF(B99="Ingreso pasivo","Activo (pasivo)","Trabajo (activo)"))</f>
        <v/>
      </c>
    </row>
    <row r="100">
      <c r="A100" s="48" t="n"/>
      <c r="B100" s="44" t="n"/>
      <c r="C100" s="44" t="n"/>
      <c r="D100" s="45" t="n"/>
      <c r="E100" s="49">
        <f>IF(A100="","",DATE(YEAR(A100),MONTH(A100),1))</f>
        <v/>
      </c>
      <c r="F100" s="24">
        <f>IF(B100="","",IF(B100="Ingreso pasivo","Activo (pasivo)","Trabajo (activo)"))</f>
        <v/>
      </c>
    </row>
    <row r="101">
      <c r="A101" s="48" t="n"/>
      <c r="B101" s="44" t="n"/>
      <c r="C101" s="44" t="n"/>
      <c r="D101" s="45" t="n"/>
      <c r="E101" s="49">
        <f>IF(A101="","",DATE(YEAR(A101),MONTH(A101),1))</f>
        <v/>
      </c>
      <c r="F101" s="24">
        <f>IF(B101="","",IF(B101="Ingreso pasivo","Activo (pasivo)","Trabajo (activo)"))</f>
        <v/>
      </c>
    </row>
    <row r="102">
      <c r="A102" s="48" t="n"/>
      <c r="B102" s="44" t="n"/>
      <c r="C102" s="44" t="n"/>
      <c r="D102" s="45" t="n"/>
      <c r="E102" s="49">
        <f>IF(A102="","",DATE(YEAR(A102),MONTH(A102),1))</f>
        <v/>
      </c>
      <c r="F102" s="24">
        <f>IF(B102="","",IF(B102="Ingreso pasivo","Activo (pasivo)","Trabajo (activo)"))</f>
        <v/>
      </c>
    </row>
    <row r="103">
      <c r="A103" s="48" t="n"/>
      <c r="B103" s="44" t="n"/>
      <c r="C103" s="44" t="n"/>
      <c r="D103" s="45" t="n"/>
      <c r="E103" s="49">
        <f>IF(A103="","",DATE(YEAR(A103),MONTH(A103),1))</f>
        <v/>
      </c>
      <c r="F103" s="24">
        <f>IF(B103="","",IF(B103="Ingreso pasivo","Activo (pasivo)","Trabajo (activo)"))</f>
        <v/>
      </c>
    </row>
    <row r="104">
      <c r="A104" s="48" t="n"/>
      <c r="B104" s="44" t="n"/>
      <c r="C104" s="44" t="n"/>
      <c r="D104" s="45" t="n"/>
      <c r="E104" s="49">
        <f>IF(A104="","",DATE(YEAR(A104),MONTH(A104),1))</f>
        <v/>
      </c>
      <c r="F104" s="24">
        <f>IF(B104="","",IF(B104="Ingreso pasivo","Activo (pasivo)","Trabajo (activo)"))</f>
        <v/>
      </c>
    </row>
    <row r="105">
      <c r="A105" s="48" t="n"/>
      <c r="B105" s="44" t="n"/>
      <c r="C105" s="44" t="n"/>
      <c r="D105" s="45" t="n"/>
      <c r="E105" s="49">
        <f>IF(A105="","",DATE(YEAR(A105),MONTH(A105),1))</f>
        <v/>
      </c>
      <c r="F105" s="24">
        <f>IF(B105="","",IF(B105="Ingreso pasivo","Activo (pasivo)","Trabajo (activo)"))</f>
        <v/>
      </c>
    </row>
    <row r="106">
      <c r="A106" s="48" t="n"/>
      <c r="B106" s="44" t="n"/>
      <c r="C106" s="44" t="n"/>
      <c r="D106" s="45" t="n"/>
      <c r="E106" s="49">
        <f>IF(A106="","",DATE(YEAR(A106),MONTH(A106),1))</f>
        <v/>
      </c>
      <c r="F106" s="24">
        <f>IF(B106="","",IF(B106="Ingreso pasivo","Activo (pasivo)","Trabajo (activo)"))</f>
        <v/>
      </c>
    </row>
    <row r="107">
      <c r="A107" s="48" t="n"/>
      <c r="B107" s="44" t="n"/>
      <c r="C107" s="44" t="n"/>
      <c r="D107" s="45" t="n"/>
      <c r="E107" s="49">
        <f>IF(A107="","",DATE(YEAR(A107),MONTH(A107),1))</f>
        <v/>
      </c>
      <c r="F107" s="24">
        <f>IF(B107="","",IF(B107="Ingreso pasivo","Activo (pasivo)","Trabajo (activo)"))</f>
        <v/>
      </c>
    </row>
    <row r="108">
      <c r="A108" s="48" t="n"/>
      <c r="B108" s="44" t="n"/>
      <c r="C108" s="44" t="n"/>
      <c r="D108" s="45" t="n"/>
      <c r="E108" s="49">
        <f>IF(A108="","",DATE(YEAR(A108),MONTH(A108),1))</f>
        <v/>
      </c>
      <c r="F108" s="24">
        <f>IF(B108="","",IF(B108="Ingreso pasivo","Activo (pasivo)","Trabajo (activo)"))</f>
        <v/>
      </c>
    </row>
    <row r="109">
      <c r="A109" s="48" t="n"/>
      <c r="B109" s="44" t="n"/>
      <c r="C109" s="44" t="n"/>
      <c r="D109" s="45" t="n"/>
      <c r="E109" s="49">
        <f>IF(A109="","",DATE(YEAR(A109),MONTH(A109),1))</f>
        <v/>
      </c>
      <c r="F109" s="24">
        <f>IF(B109="","",IF(B109="Ingreso pasivo","Activo (pasivo)","Trabajo (activo)"))</f>
        <v/>
      </c>
    </row>
    <row r="110">
      <c r="A110" s="48" t="n"/>
      <c r="B110" s="44" t="n"/>
      <c r="C110" s="44" t="n"/>
      <c r="D110" s="45" t="n"/>
      <c r="E110" s="49">
        <f>IF(A110="","",DATE(YEAR(A110),MONTH(A110),1))</f>
        <v/>
      </c>
      <c r="F110" s="24">
        <f>IF(B110="","",IF(B110="Ingreso pasivo","Activo (pasivo)","Trabajo (activo)"))</f>
        <v/>
      </c>
    </row>
    <row r="111">
      <c r="A111" s="48" t="n"/>
      <c r="B111" s="44" t="n"/>
      <c r="C111" s="44" t="n"/>
      <c r="D111" s="45" t="n"/>
      <c r="E111" s="49">
        <f>IF(A111="","",DATE(YEAR(A111),MONTH(A111),1))</f>
        <v/>
      </c>
      <c r="F111" s="24">
        <f>IF(B111="","",IF(B111="Ingreso pasivo","Activo (pasivo)","Trabajo (activo)"))</f>
        <v/>
      </c>
    </row>
    <row r="112">
      <c r="A112" s="48" t="n"/>
      <c r="B112" s="44" t="n"/>
      <c r="C112" s="44" t="n"/>
      <c r="D112" s="45" t="n"/>
      <c r="E112" s="49">
        <f>IF(A112="","",DATE(YEAR(A112),MONTH(A112),1))</f>
        <v/>
      </c>
      <c r="F112" s="24">
        <f>IF(B112="","",IF(B112="Ingreso pasivo","Activo (pasivo)","Trabajo (activo)"))</f>
        <v/>
      </c>
    </row>
    <row r="113">
      <c r="A113" s="48" t="n"/>
      <c r="B113" s="44" t="n"/>
      <c r="C113" s="44" t="n"/>
      <c r="D113" s="45" t="n"/>
      <c r="E113" s="49">
        <f>IF(A113="","",DATE(YEAR(A113),MONTH(A113),1))</f>
        <v/>
      </c>
      <c r="F113" s="24">
        <f>IF(B113="","",IF(B113="Ingreso pasivo","Activo (pasivo)","Trabajo (activo)"))</f>
        <v/>
      </c>
    </row>
    <row r="114">
      <c r="A114" s="48" t="n"/>
      <c r="B114" s="44" t="n"/>
      <c r="C114" s="44" t="n"/>
      <c r="D114" s="45" t="n"/>
      <c r="E114" s="49">
        <f>IF(A114="","",DATE(YEAR(A114),MONTH(A114),1))</f>
        <v/>
      </c>
      <c r="F114" s="24">
        <f>IF(B114="","",IF(B114="Ingreso pasivo","Activo (pasivo)","Trabajo (activo)"))</f>
        <v/>
      </c>
    </row>
    <row r="115">
      <c r="A115" s="48" t="n"/>
      <c r="B115" s="44" t="n"/>
      <c r="C115" s="44" t="n"/>
      <c r="D115" s="45" t="n"/>
      <c r="E115" s="49">
        <f>IF(A115="","",DATE(YEAR(A115),MONTH(A115),1))</f>
        <v/>
      </c>
      <c r="F115" s="24">
        <f>IF(B115="","",IF(B115="Ingreso pasivo","Activo (pasivo)","Trabajo (activo)"))</f>
        <v/>
      </c>
    </row>
    <row r="116">
      <c r="A116" s="48" t="n"/>
      <c r="B116" s="44" t="n"/>
      <c r="C116" s="44" t="n"/>
      <c r="D116" s="45" t="n"/>
      <c r="E116" s="49">
        <f>IF(A116="","",DATE(YEAR(A116),MONTH(A116),1))</f>
        <v/>
      </c>
      <c r="F116" s="24">
        <f>IF(B116="","",IF(B116="Ingreso pasivo","Activo (pasivo)","Trabajo (activo)"))</f>
        <v/>
      </c>
    </row>
    <row r="117">
      <c r="A117" s="48" t="n"/>
      <c r="B117" s="44" t="n"/>
      <c r="C117" s="44" t="n"/>
      <c r="D117" s="45" t="n"/>
      <c r="E117" s="49">
        <f>IF(A117="","",DATE(YEAR(A117),MONTH(A117),1))</f>
        <v/>
      </c>
      <c r="F117" s="24">
        <f>IF(B117="","",IF(B117="Ingreso pasivo","Activo (pasivo)","Trabajo (activo)"))</f>
        <v/>
      </c>
    </row>
    <row r="118">
      <c r="A118" s="48" t="n"/>
      <c r="B118" s="44" t="n"/>
      <c r="C118" s="44" t="n"/>
      <c r="D118" s="45" t="n"/>
      <c r="E118" s="49">
        <f>IF(A118="","",DATE(YEAR(A118),MONTH(A118),1))</f>
        <v/>
      </c>
      <c r="F118" s="24">
        <f>IF(B118="","",IF(B118="Ingreso pasivo","Activo (pasivo)","Trabajo (activo)"))</f>
        <v/>
      </c>
    </row>
    <row r="119">
      <c r="A119" s="48" t="n"/>
      <c r="B119" s="44" t="n"/>
      <c r="C119" s="44" t="n"/>
      <c r="D119" s="45" t="n"/>
      <c r="E119" s="49">
        <f>IF(A119="","",DATE(YEAR(A119),MONTH(A119),1))</f>
        <v/>
      </c>
      <c r="F119" s="24">
        <f>IF(B119="","",IF(B119="Ingreso pasivo","Activo (pasivo)","Trabajo (activo)"))</f>
        <v/>
      </c>
    </row>
    <row r="120">
      <c r="A120" s="48" t="n"/>
      <c r="B120" s="44" t="n"/>
      <c r="C120" s="44" t="n"/>
      <c r="D120" s="45" t="n"/>
      <c r="E120" s="49">
        <f>IF(A120="","",DATE(YEAR(A120),MONTH(A120),1))</f>
        <v/>
      </c>
      <c r="F120" s="24">
        <f>IF(B120="","",IF(B120="Ingreso pasivo","Activo (pasivo)","Trabajo (activo)"))</f>
        <v/>
      </c>
    </row>
    <row r="121">
      <c r="A121" s="48" t="n"/>
      <c r="B121" s="44" t="n"/>
      <c r="C121" s="44" t="n"/>
      <c r="D121" s="45" t="n"/>
      <c r="E121" s="49">
        <f>IF(A121="","",DATE(YEAR(A121),MONTH(A121),1))</f>
        <v/>
      </c>
      <c r="F121" s="24">
        <f>IF(B121="","",IF(B121="Ingreso pasivo","Activo (pasivo)","Trabajo (activo)"))</f>
        <v/>
      </c>
    </row>
    <row r="122">
      <c r="A122" s="48" t="n"/>
      <c r="B122" s="44" t="n"/>
      <c r="C122" s="44" t="n"/>
      <c r="D122" s="45" t="n"/>
      <c r="E122" s="49">
        <f>IF(A122="","",DATE(YEAR(A122),MONTH(A122),1))</f>
        <v/>
      </c>
      <c r="F122" s="24">
        <f>IF(B122="","",IF(B122="Ingreso pasivo","Activo (pasivo)","Trabajo (activo)"))</f>
        <v/>
      </c>
    </row>
    <row r="123">
      <c r="A123" s="48" t="n"/>
      <c r="B123" s="44" t="n"/>
      <c r="C123" s="44" t="n"/>
      <c r="D123" s="45" t="n"/>
      <c r="E123" s="49">
        <f>IF(A123="","",DATE(YEAR(A123),MONTH(A123),1))</f>
        <v/>
      </c>
      <c r="F123" s="24">
        <f>IF(B123="","",IF(B123="Ingreso pasivo","Activo (pasivo)","Trabajo (activo)"))</f>
        <v/>
      </c>
    </row>
    <row r="124">
      <c r="A124" s="48" t="n"/>
      <c r="B124" s="44" t="n"/>
      <c r="C124" s="44" t="n"/>
      <c r="D124" s="45" t="n"/>
      <c r="E124" s="49">
        <f>IF(A124="","",DATE(YEAR(A124),MONTH(A124),1))</f>
        <v/>
      </c>
      <c r="F124" s="24">
        <f>IF(B124="","",IF(B124="Ingreso pasivo","Activo (pasivo)","Trabajo (activo)"))</f>
        <v/>
      </c>
    </row>
    <row r="125">
      <c r="A125" s="48" t="n"/>
      <c r="B125" s="44" t="n"/>
      <c r="C125" s="44" t="n"/>
      <c r="D125" s="45" t="n"/>
      <c r="E125" s="49">
        <f>IF(A125="","",DATE(YEAR(A125),MONTH(A125),1))</f>
        <v/>
      </c>
      <c r="F125" s="24">
        <f>IF(B125="","",IF(B125="Ingreso pasivo","Activo (pasivo)","Trabajo (activo)"))</f>
        <v/>
      </c>
    </row>
    <row r="126">
      <c r="A126" s="48" t="n"/>
      <c r="B126" s="44" t="n"/>
      <c r="C126" s="44" t="n"/>
      <c r="D126" s="45" t="n"/>
      <c r="E126" s="49">
        <f>IF(A126="","",DATE(YEAR(A126),MONTH(A126),1))</f>
        <v/>
      </c>
      <c r="F126" s="24">
        <f>IF(B126="","",IF(B126="Ingreso pasivo","Activo (pasivo)","Trabajo (activo)"))</f>
        <v/>
      </c>
    </row>
    <row r="127">
      <c r="A127" s="48" t="n"/>
      <c r="B127" s="44" t="n"/>
      <c r="C127" s="44" t="n"/>
      <c r="D127" s="45" t="n"/>
      <c r="E127" s="49">
        <f>IF(A127="","",DATE(YEAR(A127),MONTH(A127),1))</f>
        <v/>
      </c>
      <c r="F127" s="24">
        <f>IF(B127="","",IF(B127="Ingreso pasivo","Activo (pasivo)","Trabajo (activo)"))</f>
        <v/>
      </c>
    </row>
    <row r="128">
      <c r="A128" s="48" t="n"/>
      <c r="B128" s="44" t="n"/>
      <c r="C128" s="44" t="n"/>
      <c r="D128" s="45" t="n"/>
      <c r="E128" s="49">
        <f>IF(A128="","",DATE(YEAR(A128),MONTH(A128),1))</f>
        <v/>
      </c>
      <c r="F128" s="24">
        <f>IF(B128="","",IF(B128="Ingreso pasivo","Activo (pasivo)","Trabajo (activo)"))</f>
        <v/>
      </c>
    </row>
    <row r="129">
      <c r="A129" s="48" t="n"/>
      <c r="B129" s="44" t="n"/>
      <c r="C129" s="44" t="n"/>
      <c r="D129" s="45" t="n"/>
      <c r="E129" s="49">
        <f>IF(A129="","",DATE(YEAR(A129),MONTH(A129),1))</f>
        <v/>
      </c>
      <c r="F129" s="24">
        <f>IF(B129="","",IF(B129="Ingreso pasivo","Activo (pasivo)","Trabajo (activo)"))</f>
        <v/>
      </c>
    </row>
    <row r="130">
      <c r="A130" s="48" t="n"/>
      <c r="B130" s="44" t="n"/>
      <c r="C130" s="44" t="n"/>
      <c r="D130" s="45" t="n"/>
      <c r="E130" s="49">
        <f>IF(A130="","",DATE(YEAR(A130),MONTH(A130),1))</f>
        <v/>
      </c>
      <c r="F130" s="24">
        <f>IF(B130="","",IF(B130="Ingreso pasivo","Activo (pasivo)","Trabajo (activo)"))</f>
        <v/>
      </c>
    </row>
    <row r="131">
      <c r="A131" s="48" t="n"/>
      <c r="B131" s="44" t="n"/>
      <c r="C131" s="44" t="n"/>
      <c r="D131" s="45" t="n"/>
      <c r="E131" s="49">
        <f>IF(A131="","",DATE(YEAR(A131),MONTH(A131),1))</f>
        <v/>
      </c>
      <c r="F131" s="24">
        <f>IF(B131="","",IF(B131="Ingreso pasivo","Activo (pasivo)","Trabajo (activo)"))</f>
        <v/>
      </c>
    </row>
    <row r="132">
      <c r="A132" s="48" t="n"/>
      <c r="B132" s="44" t="n"/>
      <c r="C132" s="44" t="n"/>
      <c r="D132" s="45" t="n"/>
      <c r="E132" s="49">
        <f>IF(A132="","",DATE(YEAR(A132),MONTH(A132),1))</f>
        <v/>
      </c>
      <c r="F132" s="24">
        <f>IF(B132="","",IF(B132="Ingreso pasivo","Activo (pasivo)","Trabajo (activo)"))</f>
        <v/>
      </c>
    </row>
    <row r="133">
      <c r="A133" s="48" t="n"/>
      <c r="B133" s="44" t="n"/>
      <c r="C133" s="44" t="n"/>
      <c r="D133" s="45" t="n"/>
      <c r="E133" s="49">
        <f>IF(A133="","",DATE(YEAR(A133),MONTH(A133),1))</f>
        <v/>
      </c>
      <c r="F133" s="24">
        <f>IF(B133="","",IF(B133="Ingreso pasivo","Activo (pasivo)","Trabajo (activo)"))</f>
        <v/>
      </c>
    </row>
    <row r="134">
      <c r="A134" s="48" t="n"/>
      <c r="B134" s="44" t="n"/>
      <c r="C134" s="44" t="n"/>
      <c r="D134" s="45" t="n"/>
      <c r="E134" s="49">
        <f>IF(A134="","",DATE(YEAR(A134),MONTH(A134),1))</f>
        <v/>
      </c>
      <c r="F134" s="24">
        <f>IF(B134="","",IF(B134="Ingreso pasivo","Activo (pasivo)","Trabajo (activo)"))</f>
        <v/>
      </c>
    </row>
    <row r="135">
      <c r="A135" s="48" t="n"/>
      <c r="B135" s="44" t="n"/>
      <c r="C135" s="44" t="n"/>
      <c r="D135" s="45" t="n"/>
      <c r="E135" s="49">
        <f>IF(A135="","",DATE(YEAR(A135),MONTH(A135),1))</f>
        <v/>
      </c>
      <c r="F135" s="24">
        <f>IF(B135="","",IF(B135="Ingreso pasivo","Activo (pasivo)","Trabajo (activo)"))</f>
        <v/>
      </c>
    </row>
    <row r="136">
      <c r="A136" s="48" t="n"/>
      <c r="B136" s="44" t="n"/>
      <c r="C136" s="44" t="n"/>
      <c r="D136" s="45" t="n"/>
      <c r="E136" s="49">
        <f>IF(A136="","",DATE(YEAR(A136),MONTH(A136),1))</f>
        <v/>
      </c>
      <c r="F136" s="24">
        <f>IF(B136="","",IF(B136="Ingreso pasivo","Activo (pasivo)","Trabajo (activo)"))</f>
        <v/>
      </c>
    </row>
    <row r="137">
      <c r="A137" s="48" t="n"/>
      <c r="B137" s="44" t="n"/>
      <c r="C137" s="44" t="n"/>
      <c r="D137" s="45" t="n"/>
      <c r="E137" s="49">
        <f>IF(A137="","",DATE(YEAR(A137),MONTH(A137),1))</f>
        <v/>
      </c>
      <c r="F137" s="24">
        <f>IF(B137="","",IF(B137="Ingreso pasivo","Activo (pasivo)","Trabajo (activo)"))</f>
        <v/>
      </c>
    </row>
    <row r="138">
      <c r="A138" s="48" t="n"/>
      <c r="B138" s="44" t="n"/>
      <c r="C138" s="44" t="n"/>
      <c r="D138" s="45" t="n"/>
      <c r="E138" s="49">
        <f>IF(A138="","",DATE(YEAR(A138),MONTH(A138),1))</f>
        <v/>
      </c>
      <c r="F138" s="24">
        <f>IF(B138="","",IF(B138="Ingreso pasivo","Activo (pasivo)","Trabajo (activo)"))</f>
        <v/>
      </c>
    </row>
    <row r="139">
      <c r="A139" s="48" t="n"/>
      <c r="B139" s="44" t="n"/>
      <c r="C139" s="44" t="n"/>
      <c r="D139" s="45" t="n"/>
      <c r="E139" s="49">
        <f>IF(A139="","",DATE(YEAR(A139),MONTH(A139),1))</f>
        <v/>
      </c>
      <c r="F139" s="24">
        <f>IF(B139="","",IF(B139="Ingreso pasivo","Activo (pasivo)","Trabajo (activo)"))</f>
        <v/>
      </c>
    </row>
    <row r="140">
      <c r="A140" s="48" t="n"/>
      <c r="B140" s="44" t="n"/>
      <c r="C140" s="44" t="n"/>
      <c r="D140" s="45" t="n"/>
      <c r="E140" s="49">
        <f>IF(A140="","",DATE(YEAR(A140),MONTH(A140),1))</f>
        <v/>
      </c>
      <c r="F140" s="24">
        <f>IF(B140="","",IF(B140="Ingreso pasivo","Activo (pasivo)","Trabajo (activo)"))</f>
        <v/>
      </c>
    </row>
    <row r="141">
      <c r="A141" s="48" t="n"/>
      <c r="B141" s="44" t="n"/>
      <c r="C141" s="44" t="n"/>
      <c r="D141" s="45" t="n"/>
      <c r="E141" s="49">
        <f>IF(A141="","",DATE(YEAR(A141),MONTH(A141),1))</f>
        <v/>
      </c>
      <c r="F141" s="24">
        <f>IF(B141="","",IF(B141="Ingreso pasivo","Activo (pasivo)","Trabajo (activo)"))</f>
        <v/>
      </c>
    </row>
    <row r="142">
      <c r="A142" s="48" t="n"/>
      <c r="B142" s="44" t="n"/>
      <c r="C142" s="44" t="n"/>
      <c r="D142" s="45" t="n"/>
      <c r="E142" s="49">
        <f>IF(A142="","",DATE(YEAR(A142),MONTH(A142),1))</f>
        <v/>
      </c>
      <c r="F142" s="24">
        <f>IF(B142="","",IF(B142="Ingreso pasivo","Activo (pasivo)","Trabajo (activo)"))</f>
        <v/>
      </c>
    </row>
    <row r="143">
      <c r="A143" s="48" t="n"/>
      <c r="B143" s="44" t="n"/>
      <c r="C143" s="44" t="n"/>
      <c r="D143" s="45" t="n"/>
      <c r="E143" s="49">
        <f>IF(A143="","",DATE(YEAR(A143),MONTH(A143),1))</f>
        <v/>
      </c>
      <c r="F143" s="24">
        <f>IF(B143="","",IF(B143="Ingreso pasivo","Activo (pasivo)","Trabajo (activo)"))</f>
        <v/>
      </c>
    </row>
    <row r="144">
      <c r="A144" s="48" t="n"/>
      <c r="B144" s="44" t="n"/>
      <c r="C144" s="44" t="n"/>
      <c r="D144" s="45" t="n"/>
      <c r="E144" s="49">
        <f>IF(A144="","",DATE(YEAR(A144),MONTH(A144),1))</f>
        <v/>
      </c>
      <c r="F144" s="24">
        <f>IF(B144="","",IF(B144="Ingreso pasivo","Activo (pasivo)","Trabajo (activo)"))</f>
        <v/>
      </c>
    </row>
    <row r="145">
      <c r="A145" s="48" t="n"/>
      <c r="B145" s="44" t="n"/>
      <c r="C145" s="44" t="n"/>
      <c r="D145" s="45" t="n"/>
      <c r="E145" s="49">
        <f>IF(A145="","",DATE(YEAR(A145),MONTH(A145),1))</f>
        <v/>
      </c>
      <c r="F145" s="24">
        <f>IF(B145="","",IF(B145="Ingreso pasivo","Activo (pasivo)","Trabajo (activo)"))</f>
        <v/>
      </c>
    </row>
    <row r="146">
      <c r="A146" s="48" t="n"/>
      <c r="B146" s="44" t="n"/>
      <c r="C146" s="44" t="n"/>
      <c r="D146" s="45" t="n"/>
      <c r="E146" s="49">
        <f>IF(A146="","",DATE(YEAR(A146),MONTH(A146),1))</f>
        <v/>
      </c>
      <c r="F146" s="24">
        <f>IF(B146="","",IF(B146="Ingreso pasivo","Activo (pasivo)","Trabajo (activo)"))</f>
        <v/>
      </c>
    </row>
    <row r="147">
      <c r="A147" s="48" t="n"/>
      <c r="B147" s="44" t="n"/>
      <c r="C147" s="44" t="n"/>
      <c r="D147" s="45" t="n"/>
      <c r="E147" s="49">
        <f>IF(A147="","",DATE(YEAR(A147),MONTH(A147),1))</f>
        <v/>
      </c>
      <c r="F147" s="24">
        <f>IF(B147="","",IF(B147="Ingreso pasivo","Activo (pasivo)","Trabajo (activo)"))</f>
        <v/>
      </c>
    </row>
    <row r="148">
      <c r="A148" s="48" t="n"/>
      <c r="B148" s="44" t="n"/>
      <c r="C148" s="44" t="n"/>
      <c r="D148" s="45" t="n"/>
      <c r="E148" s="49">
        <f>IF(A148="","",DATE(YEAR(A148),MONTH(A148),1))</f>
        <v/>
      </c>
      <c r="F148" s="24">
        <f>IF(B148="","",IF(B148="Ingreso pasivo","Activo (pasivo)","Trabajo (activo)"))</f>
        <v/>
      </c>
    </row>
    <row r="149">
      <c r="A149" s="48" t="n"/>
      <c r="B149" s="44" t="n"/>
      <c r="C149" s="44" t="n"/>
      <c r="D149" s="45" t="n"/>
      <c r="E149" s="49">
        <f>IF(A149="","",DATE(YEAR(A149),MONTH(A149),1))</f>
        <v/>
      </c>
      <c r="F149" s="24">
        <f>IF(B149="","",IF(B149="Ingreso pasivo","Activo (pasivo)","Trabajo (activo)"))</f>
        <v/>
      </c>
    </row>
    <row r="150">
      <c r="A150" s="48" t="n"/>
      <c r="B150" s="44" t="n"/>
      <c r="C150" s="44" t="n"/>
      <c r="D150" s="45" t="n"/>
      <c r="E150" s="49">
        <f>IF(A150="","",DATE(YEAR(A150),MONTH(A150),1))</f>
        <v/>
      </c>
      <c r="F150" s="24">
        <f>IF(B150="","",IF(B150="Ingreso pasivo","Activo (pasivo)","Trabajo (activo)"))</f>
        <v/>
      </c>
    </row>
    <row r="151">
      <c r="A151" s="48" t="n"/>
      <c r="B151" s="44" t="n"/>
      <c r="C151" s="44" t="n"/>
      <c r="D151" s="45" t="n"/>
      <c r="E151" s="49">
        <f>IF(A151="","",DATE(YEAR(A151),MONTH(A151),1))</f>
        <v/>
      </c>
      <c r="F151" s="24">
        <f>IF(B151="","",IF(B151="Ingreso pasivo","Activo (pasivo)","Trabajo (activo)"))</f>
        <v/>
      </c>
    </row>
    <row r="152">
      <c r="A152" s="48" t="n"/>
      <c r="B152" s="44" t="n"/>
      <c r="C152" s="44" t="n"/>
      <c r="D152" s="45" t="n"/>
      <c r="E152" s="49">
        <f>IF(A152="","",DATE(YEAR(A152),MONTH(A152),1))</f>
        <v/>
      </c>
      <c r="F152" s="24">
        <f>IF(B152="","",IF(B152="Ingreso pasivo","Activo (pasivo)","Trabajo (activo)"))</f>
        <v/>
      </c>
    </row>
    <row r="153">
      <c r="A153" s="48" t="n"/>
      <c r="B153" s="44" t="n"/>
      <c r="C153" s="44" t="n"/>
      <c r="D153" s="45" t="n"/>
      <c r="E153" s="49">
        <f>IF(A153="","",DATE(YEAR(A153),MONTH(A153),1))</f>
        <v/>
      </c>
      <c r="F153" s="24">
        <f>IF(B153="","",IF(B153="Ingreso pasivo","Activo (pasivo)","Trabajo (activo)"))</f>
        <v/>
      </c>
    </row>
    <row r="154">
      <c r="A154" s="48" t="n"/>
      <c r="B154" s="44" t="n"/>
      <c r="C154" s="44" t="n"/>
      <c r="D154" s="45" t="n"/>
      <c r="E154" s="49">
        <f>IF(A154="","",DATE(YEAR(A154),MONTH(A154),1))</f>
        <v/>
      </c>
      <c r="F154" s="24">
        <f>IF(B154="","",IF(B154="Ingreso pasivo","Activo (pasivo)","Trabajo (activo)"))</f>
        <v/>
      </c>
    </row>
    <row r="155">
      <c r="A155" s="48" t="n"/>
      <c r="B155" s="44" t="n"/>
      <c r="C155" s="44" t="n"/>
      <c r="D155" s="45" t="n"/>
      <c r="E155" s="49">
        <f>IF(A155="","",DATE(YEAR(A155),MONTH(A155),1))</f>
        <v/>
      </c>
      <c r="F155" s="24">
        <f>IF(B155="","",IF(B155="Ingreso pasivo","Activo (pasivo)","Trabajo (activo)"))</f>
        <v/>
      </c>
    </row>
    <row r="156">
      <c r="A156" s="48" t="n"/>
      <c r="B156" s="44" t="n"/>
      <c r="C156" s="44" t="n"/>
      <c r="D156" s="45" t="n"/>
      <c r="E156" s="49">
        <f>IF(A156="","",DATE(YEAR(A156),MONTH(A156),1))</f>
        <v/>
      </c>
      <c r="F156" s="24">
        <f>IF(B156="","",IF(B156="Ingreso pasivo","Activo (pasivo)","Trabajo (activo)"))</f>
        <v/>
      </c>
    </row>
    <row r="157">
      <c r="A157" s="48" t="n"/>
      <c r="B157" s="44" t="n"/>
      <c r="C157" s="44" t="n"/>
      <c r="D157" s="45" t="n"/>
      <c r="E157" s="49">
        <f>IF(A157="","",DATE(YEAR(A157),MONTH(A157),1))</f>
        <v/>
      </c>
      <c r="F157" s="24">
        <f>IF(B157="","",IF(B157="Ingreso pasivo","Activo (pasivo)","Trabajo (activo)"))</f>
        <v/>
      </c>
    </row>
    <row r="158">
      <c r="A158" s="48" t="n"/>
      <c r="B158" s="44" t="n"/>
      <c r="C158" s="44" t="n"/>
      <c r="D158" s="45" t="n"/>
      <c r="E158" s="49">
        <f>IF(A158="","",DATE(YEAR(A158),MONTH(A158),1))</f>
        <v/>
      </c>
      <c r="F158" s="24">
        <f>IF(B158="","",IF(B158="Ingreso pasivo","Activo (pasivo)","Trabajo (activo)"))</f>
        <v/>
      </c>
    </row>
    <row r="159">
      <c r="A159" s="48" t="n"/>
      <c r="B159" s="44" t="n"/>
      <c r="C159" s="44" t="n"/>
      <c r="D159" s="45" t="n"/>
      <c r="E159" s="49">
        <f>IF(A159="","",DATE(YEAR(A159),MONTH(A159),1))</f>
        <v/>
      </c>
      <c r="F159" s="24">
        <f>IF(B159="","",IF(B159="Ingreso pasivo","Activo (pasivo)","Trabajo (activo)"))</f>
        <v/>
      </c>
    </row>
    <row r="160">
      <c r="A160" s="48" t="n"/>
      <c r="B160" s="44" t="n"/>
      <c r="C160" s="44" t="n"/>
      <c r="D160" s="45" t="n"/>
      <c r="E160" s="49">
        <f>IF(A160="","",DATE(YEAR(A160),MONTH(A160),1))</f>
        <v/>
      </c>
      <c r="F160" s="24">
        <f>IF(B160="","",IF(B160="Ingreso pasivo","Activo (pasivo)","Trabajo (activo)"))</f>
        <v/>
      </c>
    </row>
    <row r="161">
      <c r="A161" s="48" t="n"/>
      <c r="B161" s="44" t="n"/>
      <c r="C161" s="44" t="n"/>
      <c r="D161" s="45" t="n"/>
      <c r="E161" s="49">
        <f>IF(A161="","",DATE(YEAR(A161),MONTH(A161),1))</f>
        <v/>
      </c>
      <c r="F161" s="24">
        <f>IF(B161="","",IF(B161="Ingreso pasivo","Activo (pasivo)","Trabajo (activo)"))</f>
        <v/>
      </c>
    </row>
    <row r="162">
      <c r="A162" s="48" t="n"/>
      <c r="B162" s="44" t="n"/>
      <c r="C162" s="44" t="n"/>
      <c r="D162" s="45" t="n"/>
      <c r="E162" s="49">
        <f>IF(A162="","",DATE(YEAR(A162),MONTH(A162),1))</f>
        <v/>
      </c>
      <c r="F162" s="24">
        <f>IF(B162="","",IF(B162="Ingreso pasivo","Activo (pasivo)","Trabajo (activo)"))</f>
        <v/>
      </c>
    </row>
    <row r="163">
      <c r="A163" s="48" t="n"/>
      <c r="B163" s="44" t="n"/>
      <c r="C163" s="44" t="n"/>
      <c r="D163" s="45" t="n"/>
      <c r="E163" s="49">
        <f>IF(A163="","",DATE(YEAR(A163),MONTH(A163),1))</f>
        <v/>
      </c>
      <c r="F163" s="24">
        <f>IF(B163="","",IF(B163="Ingreso pasivo","Activo (pasivo)","Trabajo (activo)"))</f>
        <v/>
      </c>
    </row>
    <row r="164">
      <c r="A164" s="48" t="n"/>
      <c r="B164" s="44" t="n"/>
      <c r="C164" s="44" t="n"/>
      <c r="D164" s="45" t="n"/>
      <c r="E164" s="49">
        <f>IF(A164="","",DATE(YEAR(A164),MONTH(A164),1))</f>
        <v/>
      </c>
      <c r="F164" s="24">
        <f>IF(B164="","",IF(B164="Ingreso pasivo","Activo (pasivo)","Trabajo (activo)"))</f>
        <v/>
      </c>
    </row>
    <row r="165">
      <c r="A165" s="48" t="n"/>
      <c r="B165" s="44" t="n"/>
      <c r="C165" s="44" t="n"/>
      <c r="D165" s="45" t="n"/>
      <c r="E165" s="49">
        <f>IF(A165="","",DATE(YEAR(A165),MONTH(A165),1))</f>
        <v/>
      </c>
      <c r="F165" s="24">
        <f>IF(B165="","",IF(B165="Ingreso pasivo","Activo (pasivo)","Trabajo (activo)"))</f>
        <v/>
      </c>
    </row>
    <row r="166">
      <c r="A166" s="48" t="n"/>
      <c r="B166" s="44" t="n"/>
      <c r="C166" s="44" t="n"/>
      <c r="D166" s="45" t="n"/>
      <c r="E166" s="49">
        <f>IF(A166="","",DATE(YEAR(A166),MONTH(A166),1))</f>
        <v/>
      </c>
      <c r="F166" s="24">
        <f>IF(B166="","",IF(B166="Ingreso pasivo","Activo (pasivo)","Trabajo (activo)"))</f>
        <v/>
      </c>
    </row>
    <row r="167">
      <c r="A167" s="48" t="n"/>
      <c r="B167" s="44" t="n"/>
      <c r="C167" s="44" t="n"/>
      <c r="D167" s="45" t="n"/>
      <c r="E167" s="49">
        <f>IF(A167="","",DATE(YEAR(A167),MONTH(A167),1))</f>
        <v/>
      </c>
      <c r="F167" s="24">
        <f>IF(B167="","",IF(B167="Ingreso pasivo","Activo (pasivo)","Trabajo (activo)"))</f>
        <v/>
      </c>
    </row>
    <row r="168">
      <c r="A168" s="48" t="n"/>
      <c r="B168" s="44" t="n"/>
      <c r="C168" s="44" t="n"/>
      <c r="D168" s="45" t="n"/>
      <c r="E168" s="49">
        <f>IF(A168="","",DATE(YEAR(A168),MONTH(A168),1))</f>
        <v/>
      </c>
      <c r="F168" s="24">
        <f>IF(B168="","",IF(B168="Ingreso pasivo","Activo (pasivo)","Trabajo (activo)"))</f>
        <v/>
      </c>
    </row>
    <row r="169">
      <c r="A169" s="48" t="n"/>
      <c r="B169" s="44" t="n"/>
      <c r="C169" s="44" t="n"/>
      <c r="D169" s="45" t="n"/>
      <c r="E169" s="49">
        <f>IF(A169="","",DATE(YEAR(A169),MONTH(A169),1))</f>
        <v/>
      </c>
      <c r="F169" s="24">
        <f>IF(B169="","",IF(B169="Ingreso pasivo","Activo (pasivo)","Trabajo (activo)"))</f>
        <v/>
      </c>
    </row>
    <row r="170">
      <c r="A170" s="48" t="n"/>
      <c r="B170" s="44" t="n"/>
      <c r="C170" s="44" t="n"/>
      <c r="D170" s="45" t="n"/>
      <c r="E170" s="49">
        <f>IF(A170="","",DATE(YEAR(A170),MONTH(A170),1))</f>
        <v/>
      </c>
      <c r="F170" s="24">
        <f>IF(B170="","",IF(B170="Ingreso pasivo","Activo (pasivo)","Trabajo (activo)"))</f>
        <v/>
      </c>
    </row>
    <row r="171">
      <c r="A171" s="48" t="n"/>
      <c r="B171" s="44" t="n"/>
      <c r="C171" s="44" t="n"/>
      <c r="D171" s="45" t="n"/>
      <c r="E171" s="49">
        <f>IF(A171="","",DATE(YEAR(A171),MONTH(A171),1))</f>
        <v/>
      </c>
      <c r="F171" s="24">
        <f>IF(B171="","",IF(B171="Ingreso pasivo","Activo (pasivo)","Trabajo (activo)"))</f>
        <v/>
      </c>
    </row>
    <row r="172">
      <c r="A172" s="48" t="n"/>
      <c r="B172" s="44" t="n"/>
      <c r="C172" s="44" t="n"/>
      <c r="D172" s="45" t="n"/>
      <c r="E172" s="49">
        <f>IF(A172="","",DATE(YEAR(A172),MONTH(A172),1))</f>
        <v/>
      </c>
      <c r="F172" s="24">
        <f>IF(B172="","",IF(B172="Ingreso pasivo","Activo (pasivo)","Trabajo (activo)"))</f>
        <v/>
      </c>
    </row>
    <row r="173">
      <c r="A173" s="48" t="n"/>
      <c r="B173" s="44" t="n"/>
      <c r="C173" s="44" t="n"/>
      <c r="D173" s="45" t="n"/>
      <c r="E173" s="49">
        <f>IF(A173="","",DATE(YEAR(A173),MONTH(A173),1))</f>
        <v/>
      </c>
      <c r="F173" s="24">
        <f>IF(B173="","",IF(B173="Ingreso pasivo","Activo (pasivo)","Trabajo (activo)"))</f>
        <v/>
      </c>
    </row>
    <row r="174">
      <c r="A174" s="48" t="n"/>
      <c r="B174" s="44" t="n"/>
      <c r="C174" s="44" t="n"/>
      <c r="D174" s="45" t="n"/>
      <c r="E174" s="49">
        <f>IF(A174="","",DATE(YEAR(A174),MONTH(A174),1))</f>
        <v/>
      </c>
      <c r="F174" s="24">
        <f>IF(B174="","",IF(B174="Ingreso pasivo","Activo (pasivo)","Trabajo (activo)"))</f>
        <v/>
      </c>
    </row>
    <row r="175">
      <c r="A175" s="48" t="n"/>
      <c r="B175" s="44" t="n"/>
      <c r="C175" s="44" t="n"/>
      <c r="D175" s="45" t="n"/>
      <c r="E175" s="49">
        <f>IF(A175="","",DATE(YEAR(A175),MONTH(A175),1))</f>
        <v/>
      </c>
      <c r="F175" s="24">
        <f>IF(B175="","",IF(B175="Ingreso pasivo","Activo (pasivo)","Trabajo (activo)"))</f>
        <v/>
      </c>
    </row>
    <row r="176">
      <c r="A176" s="48" t="n"/>
      <c r="B176" s="44" t="n"/>
      <c r="C176" s="44" t="n"/>
      <c r="D176" s="45" t="n"/>
      <c r="E176" s="49">
        <f>IF(A176="","",DATE(YEAR(A176),MONTH(A176),1))</f>
        <v/>
      </c>
      <c r="F176" s="24">
        <f>IF(B176="","",IF(B176="Ingreso pasivo","Activo (pasivo)","Trabajo (activo)"))</f>
        <v/>
      </c>
    </row>
    <row r="177">
      <c r="A177" s="48" t="n"/>
      <c r="B177" s="44" t="n"/>
      <c r="C177" s="44" t="n"/>
      <c r="D177" s="45" t="n"/>
      <c r="E177" s="49">
        <f>IF(A177="","",DATE(YEAR(A177),MONTH(A177),1))</f>
        <v/>
      </c>
      <c r="F177" s="24">
        <f>IF(B177="","",IF(B177="Ingreso pasivo","Activo (pasivo)","Trabajo (activo)"))</f>
        <v/>
      </c>
    </row>
    <row r="178">
      <c r="A178" s="48" t="n"/>
      <c r="B178" s="44" t="n"/>
      <c r="C178" s="44" t="n"/>
      <c r="D178" s="45" t="n"/>
      <c r="E178" s="49">
        <f>IF(A178="","",DATE(YEAR(A178),MONTH(A178),1))</f>
        <v/>
      </c>
      <c r="F178" s="24">
        <f>IF(B178="","",IF(B178="Ingreso pasivo","Activo (pasivo)","Trabajo (activo)"))</f>
        <v/>
      </c>
    </row>
    <row r="179">
      <c r="A179" s="48" t="n"/>
      <c r="B179" s="44" t="n"/>
      <c r="C179" s="44" t="n"/>
      <c r="D179" s="45" t="n"/>
      <c r="E179" s="49">
        <f>IF(A179="","",DATE(YEAR(A179),MONTH(A179),1))</f>
        <v/>
      </c>
      <c r="F179" s="24">
        <f>IF(B179="","",IF(B179="Ingreso pasivo","Activo (pasivo)","Trabajo (activo)"))</f>
        <v/>
      </c>
    </row>
    <row r="180">
      <c r="A180" s="48" t="n"/>
      <c r="B180" s="44" t="n"/>
      <c r="C180" s="44" t="n"/>
      <c r="D180" s="45" t="n"/>
      <c r="E180" s="49">
        <f>IF(A180="","",DATE(YEAR(A180),MONTH(A180),1))</f>
        <v/>
      </c>
      <c r="F180" s="24">
        <f>IF(B180="","",IF(B180="Ingreso pasivo","Activo (pasivo)","Trabajo (activo)"))</f>
        <v/>
      </c>
    </row>
    <row r="181">
      <c r="A181" s="48" t="n"/>
      <c r="B181" s="44" t="n"/>
      <c r="C181" s="44" t="n"/>
      <c r="D181" s="45" t="n"/>
      <c r="E181" s="49">
        <f>IF(A181="","",DATE(YEAR(A181),MONTH(A181),1))</f>
        <v/>
      </c>
      <c r="F181" s="24">
        <f>IF(B181="","",IF(B181="Ingreso pasivo","Activo (pasivo)","Trabajo (activo)"))</f>
        <v/>
      </c>
    </row>
    <row r="182">
      <c r="A182" s="48" t="n"/>
      <c r="B182" s="44" t="n"/>
      <c r="C182" s="44" t="n"/>
      <c r="D182" s="45" t="n"/>
      <c r="E182" s="49">
        <f>IF(A182="","",DATE(YEAR(A182),MONTH(A182),1))</f>
        <v/>
      </c>
      <c r="F182" s="24">
        <f>IF(B182="","",IF(B182="Ingreso pasivo","Activo (pasivo)","Trabajo (activo)"))</f>
        <v/>
      </c>
    </row>
    <row r="183">
      <c r="A183" s="48" t="n"/>
      <c r="B183" s="44" t="n"/>
      <c r="C183" s="44" t="n"/>
      <c r="D183" s="45" t="n"/>
      <c r="E183" s="49">
        <f>IF(A183="","",DATE(YEAR(A183),MONTH(A183),1))</f>
        <v/>
      </c>
      <c r="F183" s="24">
        <f>IF(B183="","",IF(B183="Ingreso pasivo","Activo (pasivo)","Trabajo (activo)"))</f>
        <v/>
      </c>
    </row>
    <row r="184">
      <c r="A184" s="48" t="n"/>
      <c r="B184" s="44" t="n"/>
      <c r="C184" s="44" t="n"/>
      <c r="D184" s="45" t="n"/>
      <c r="E184" s="49">
        <f>IF(A184="","",DATE(YEAR(A184),MONTH(A184),1))</f>
        <v/>
      </c>
      <c r="F184" s="24">
        <f>IF(B184="","",IF(B184="Ingreso pasivo","Activo (pasivo)","Trabajo (activo)"))</f>
        <v/>
      </c>
    </row>
    <row r="185">
      <c r="A185" s="48" t="n"/>
      <c r="B185" s="44" t="n"/>
      <c r="C185" s="44" t="n"/>
      <c r="D185" s="45" t="n"/>
      <c r="E185" s="49">
        <f>IF(A185="","",DATE(YEAR(A185),MONTH(A185),1))</f>
        <v/>
      </c>
      <c r="F185" s="24">
        <f>IF(B185="","",IF(B185="Ingreso pasivo","Activo (pasivo)","Trabajo (activo)"))</f>
        <v/>
      </c>
    </row>
    <row r="186">
      <c r="A186" s="48" t="n"/>
      <c r="B186" s="44" t="n"/>
      <c r="C186" s="44" t="n"/>
      <c r="D186" s="45" t="n"/>
      <c r="E186" s="49">
        <f>IF(A186="","",DATE(YEAR(A186),MONTH(A186),1))</f>
        <v/>
      </c>
      <c r="F186" s="24">
        <f>IF(B186="","",IF(B186="Ingreso pasivo","Activo (pasivo)","Trabajo (activo)"))</f>
        <v/>
      </c>
    </row>
    <row r="187">
      <c r="A187" s="48" t="n"/>
      <c r="B187" s="44" t="n"/>
      <c r="C187" s="44" t="n"/>
      <c r="D187" s="45" t="n"/>
      <c r="E187" s="49">
        <f>IF(A187="","",DATE(YEAR(A187),MONTH(A187),1))</f>
        <v/>
      </c>
      <c r="F187" s="24">
        <f>IF(B187="","",IF(B187="Ingreso pasivo","Activo (pasivo)","Trabajo (activo)"))</f>
        <v/>
      </c>
    </row>
    <row r="188">
      <c r="A188" s="48" t="n"/>
      <c r="B188" s="44" t="n"/>
      <c r="C188" s="44" t="n"/>
      <c r="D188" s="45" t="n"/>
      <c r="E188" s="49">
        <f>IF(A188="","",DATE(YEAR(A188),MONTH(A188),1))</f>
        <v/>
      </c>
      <c r="F188" s="24">
        <f>IF(B188="","",IF(B188="Ingreso pasivo","Activo (pasivo)","Trabajo (activo)"))</f>
        <v/>
      </c>
    </row>
    <row r="189">
      <c r="A189" s="48" t="n"/>
      <c r="B189" s="44" t="n"/>
      <c r="C189" s="44" t="n"/>
      <c r="D189" s="45" t="n"/>
      <c r="E189" s="49">
        <f>IF(A189="","",DATE(YEAR(A189),MONTH(A189),1))</f>
        <v/>
      </c>
      <c r="F189" s="24">
        <f>IF(B189="","",IF(B189="Ingreso pasivo","Activo (pasivo)","Trabajo (activo)"))</f>
        <v/>
      </c>
    </row>
    <row r="190">
      <c r="A190" s="48" t="n"/>
      <c r="B190" s="44" t="n"/>
      <c r="C190" s="44" t="n"/>
      <c r="D190" s="45" t="n"/>
      <c r="E190" s="49">
        <f>IF(A190="","",DATE(YEAR(A190),MONTH(A190),1))</f>
        <v/>
      </c>
      <c r="F190" s="24">
        <f>IF(B190="","",IF(B190="Ingreso pasivo","Activo (pasivo)","Trabajo (activo)"))</f>
        <v/>
      </c>
    </row>
    <row r="191">
      <c r="A191" s="48" t="n"/>
      <c r="B191" s="44" t="n"/>
      <c r="C191" s="44" t="n"/>
      <c r="D191" s="45" t="n"/>
      <c r="E191" s="49">
        <f>IF(A191="","",DATE(YEAR(A191),MONTH(A191),1))</f>
        <v/>
      </c>
      <c r="F191" s="24">
        <f>IF(B191="","",IF(B191="Ingreso pasivo","Activo (pasivo)","Trabajo (activo)"))</f>
        <v/>
      </c>
    </row>
    <row r="192">
      <c r="A192" s="48" t="n"/>
      <c r="B192" s="44" t="n"/>
      <c r="C192" s="44" t="n"/>
      <c r="D192" s="45" t="n"/>
      <c r="E192" s="49">
        <f>IF(A192="","",DATE(YEAR(A192),MONTH(A192),1))</f>
        <v/>
      </c>
      <c r="F192" s="24">
        <f>IF(B192="","",IF(B192="Ingreso pasivo","Activo (pasivo)","Trabajo (activo)"))</f>
        <v/>
      </c>
    </row>
    <row r="193">
      <c r="A193" s="48" t="n"/>
      <c r="B193" s="44" t="n"/>
      <c r="C193" s="44" t="n"/>
      <c r="D193" s="45" t="n"/>
      <c r="E193" s="49">
        <f>IF(A193="","",DATE(YEAR(A193),MONTH(A193),1))</f>
        <v/>
      </c>
      <c r="F193" s="24">
        <f>IF(B193="","",IF(B193="Ingreso pasivo","Activo (pasivo)","Trabajo (activo)"))</f>
        <v/>
      </c>
    </row>
    <row r="194">
      <c r="A194" s="48" t="n"/>
      <c r="B194" s="44" t="n"/>
      <c r="C194" s="44" t="n"/>
      <c r="D194" s="45" t="n"/>
      <c r="E194" s="49">
        <f>IF(A194="","",DATE(YEAR(A194),MONTH(A194),1))</f>
        <v/>
      </c>
      <c r="F194" s="24">
        <f>IF(B194="","",IF(B194="Ingreso pasivo","Activo (pasivo)","Trabajo (activo)"))</f>
        <v/>
      </c>
    </row>
    <row r="195">
      <c r="A195" s="48" t="n"/>
      <c r="B195" s="44" t="n"/>
      <c r="C195" s="44" t="n"/>
      <c r="D195" s="45" t="n"/>
      <c r="E195" s="49">
        <f>IF(A195="","",DATE(YEAR(A195),MONTH(A195),1))</f>
        <v/>
      </c>
      <c r="F195" s="24">
        <f>IF(B195="","",IF(B195="Ingreso pasivo","Activo (pasivo)","Trabajo (activo)"))</f>
        <v/>
      </c>
    </row>
    <row r="196">
      <c r="A196" s="48" t="n"/>
      <c r="B196" s="44" t="n"/>
      <c r="C196" s="44" t="n"/>
      <c r="D196" s="45" t="n"/>
      <c r="E196" s="49">
        <f>IF(A196="","",DATE(YEAR(A196),MONTH(A196),1))</f>
        <v/>
      </c>
      <c r="F196" s="24">
        <f>IF(B196="","",IF(B196="Ingreso pasivo","Activo (pasivo)","Trabajo (activo)"))</f>
        <v/>
      </c>
    </row>
    <row r="197">
      <c r="A197" s="48" t="n"/>
      <c r="B197" s="44" t="n"/>
      <c r="C197" s="44" t="n"/>
      <c r="D197" s="45" t="n"/>
      <c r="E197" s="49">
        <f>IF(A197="","",DATE(YEAR(A197),MONTH(A197),1))</f>
        <v/>
      </c>
      <c r="F197" s="24">
        <f>IF(B197="","",IF(B197="Ingreso pasivo","Activo (pasivo)","Trabajo (activo)"))</f>
        <v/>
      </c>
    </row>
    <row r="198">
      <c r="A198" s="48" t="n"/>
      <c r="B198" s="44" t="n"/>
      <c r="C198" s="44" t="n"/>
      <c r="D198" s="45" t="n"/>
      <c r="E198" s="49">
        <f>IF(A198="","",DATE(YEAR(A198),MONTH(A198),1))</f>
        <v/>
      </c>
      <c r="F198" s="24">
        <f>IF(B198="","",IF(B198="Ingreso pasivo","Activo (pasivo)","Trabajo (activo)"))</f>
        <v/>
      </c>
    </row>
    <row r="199">
      <c r="A199" s="48" t="n"/>
      <c r="B199" s="44" t="n"/>
      <c r="C199" s="44" t="n"/>
      <c r="D199" s="45" t="n"/>
      <c r="E199" s="49">
        <f>IF(A199="","",DATE(YEAR(A199),MONTH(A199),1))</f>
        <v/>
      </c>
      <c r="F199" s="24">
        <f>IF(B199="","",IF(B199="Ingreso pasivo","Activo (pasivo)","Trabajo (activo)"))</f>
        <v/>
      </c>
    </row>
    <row r="200">
      <c r="A200" s="48" t="n"/>
      <c r="B200" s="44" t="n"/>
      <c r="C200" s="44" t="n"/>
      <c r="D200" s="45" t="n"/>
      <c r="E200" s="49">
        <f>IF(A200="","",DATE(YEAR(A200),MONTH(A200),1))</f>
        <v/>
      </c>
      <c r="F200" s="24">
        <f>IF(B200="","",IF(B200="Ingreso pasivo","Activo (pasivo)","Trabajo (activo)"))</f>
        <v/>
      </c>
    </row>
    <row r="201">
      <c r="A201" s="48" t="n"/>
      <c r="B201" s="44" t="n"/>
      <c r="C201" s="44" t="n"/>
      <c r="D201" s="45" t="n"/>
      <c r="E201" s="49">
        <f>IF(A201="","",DATE(YEAR(A201),MONTH(A201),1))</f>
        <v/>
      </c>
      <c r="F201" s="24">
        <f>IF(B201="","",IF(B201="Ingreso pasivo","Activo (pasivo)","Trabajo (activo)"))</f>
        <v/>
      </c>
    </row>
    <row r="202">
      <c r="A202" s="48" t="n"/>
      <c r="B202" s="44" t="n"/>
      <c r="C202" s="44" t="n"/>
      <c r="D202" s="45" t="n"/>
      <c r="E202" s="49">
        <f>IF(A202="","",DATE(YEAR(A202),MONTH(A202),1))</f>
        <v/>
      </c>
      <c r="F202" s="24">
        <f>IF(B202="","",IF(B202="Ingreso pasivo","Activo (pasivo)","Trabajo (activo)"))</f>
        <v/>
      </c>
    </row>
    <row r="203">
      <c r="A203" s="48" t="n"/>
      <c r="B203" s="44" t="n"/>
      <c r="C203" s="44" t="n"/>
      <c r="D203" s="45" t="n"/>
      <c r="E203" s="49">
        <f>IF(A203="","",DATE(YEAR(A203),MONTH(A203),1))</f>
        <v/>
      </c>
      <c r="F203" s="24">
        <f>IF(B203="","",IF(B203="Ingreso pasivo","Activo (pasivo)","Trabajo (activo)"))</f>
        <v/>
      </c>
    </row>
    <row r="204">
      <c r="A204" s="48" t="n"/>
      <c r="B204" s="44" t="n"/>
      <c r="C204" s="44" t="n"/>
      <c r="D204" s="45" t="n"/>
      <c r="E204" s="49">
        <f>IF(A204="","",DATE(YEAR(A204),MONTH(A204),1))</f>
        <v/>
      </c>
      <c r="F204" s="24">
        <f>IF(B204="","",IF(B204="Ingreso pasivo","Activo (pasivo)","Trabajo (activo)"))</f>
        <v/>
      </c>
    </row>
    <row r="205">
      <c r="A205" s="48" t="n"/>
      <c r="B205" s="44" t="n"/>
      <c r="C205" s="44" t="n"/>
      <c r="D205" s="45" t="n"/>
      <c r="E205" s="49">
        <f>IF(A205="","",DATE(YEAR(A205),MONTH(A205),1))</f>
        <v/>
      </c>
      <c r="F205" s="24">
        <f>IF(B205="","",IF(B205="Ingreso pasivo","Activo (pasivo)","Trabajo (activo)"))</f>
        <v/>
      </c>
    </row>
    <row r="206">
      <c r="A206" s="48" t="n"/>
      <c r="B206" s="44" t="n"/>
      <c r="C206" s="44" t="n"/>
      <c r="D206" s="45" t="n"/>
      <c r="E206" s="49">
        <f>IF(A206="","",DATE(YEAR(A206),MONTH(A206),1))</f>
        <v/>
      </c>
      <c r="F206" s="24">
        <f>IF(B206="","",IF(B206="Ingreso pasivo","Activo (pasivo)","Trabajo (activo)"))</f>
        <v/>
      </c>
    </row>
    <row r="207">
      <c r="A207" s="48" t="n"/>
      <c r="B207" s="44" t="n"/>
      <c r="C207" s="44" t="n"/>
      <c r="D207" s="45" t="n"/>
      <c r="E207" s="49">
        <f>IF(A207="","",DATE(YEAR(A207),MONTH(A207),1))</f>
        <v/>
      </c>
      <c r="F207" s="24">
        <f>IF(B207="","",IF(B207="Ingreso pasivo","Activo (pasivo)","Trabajo (activo)"))</f>
        <v/>
      </c>
    </row>
    <row r="208">
      <c r="A208" s="48" t="n"/>
      <c r="B208" s="44" t="n"/>
      <c r="C208" s="44" t="n"/>
      <c r="D208" s="45" t="n"/>
      <c r="E208" s="49">
        <f>IF(A208="","",DATE(YEAR(A208),MONTH(A208),1))</f>
        <v/>
      </c>
      <c r="F208" s="24">
        <f>IF(B208="","",IF(B208="Ingreso pasivo","Activo (pasivo)","Trabajo (activo)"))</f>
        <v/>
      </c>
    </row>
    <row r="209">
      <c r="A209" s="48" t="n"/>
      <c r="B209" s="44" t="n"/>
      <c r="C209" s="44" t="n"/>
      <c r="D209" s="45" t="n"/>
      <c r="E209" s="49">
        <f>IF(A209="","",DATE(YEAR(A209),MONTH(A209),1))</f>
        <v/>
      </c>
      <c r="F209" s="24">
        <f>IF(B209="","",IF(B209="Ingreso pasivo","Activo (pasivo)","Trabajo (activo)"))</f>
        <v/>
      </c>
    </row>
    <row r="210">
      <c r="A210" s="48" t="n"/>
      <c r="B210" s="44" t="n"/>
      <c r="C210" s="44" t="n"/>
      <c r="D210" s="45" t="n"/>
      <c r="E210" s="49">
        <f>IF(A210="","",DATE(YEAR(A210),MONTH(A210),1))</f>
        <v/>
      </c>
      <c r="F210" s="24">
        <f>IF(B210="","",IF(B210="Ingreso pasivo","Activo (pasivo)","Trabajo (activo)"))</f>
        <v/>
      </c>
    </row>
    <row r="211">
      <c r="A211" s="48" t="n"/>
      <c r="B211" s="44" t="n"/>
      <c r="C211" s="44" t="n"/>
      <c r="D211" s="45" t="n"/>
      <c r="E211" s="49">
        <f>IF(A211="","",DATE(YEAR(A211),MONTH(A211),1))</f>
        <v/>
      </c>
      <c r="F211" s="24">
        <f>IF(B211="","",IF(B211="Ingreso pasivo","Activo (pasivo)","Trabajo (activo)"))</f>
        <v/>
      </c>
    </row>
    <row r="212">
      <c r="A212" s="48" t="n"/>
      <c r="B212" s="44" t="n"/>
      <c r="C212" s="44" t="n"/>
      <c r="D212" s="45" t="n"/>
      <c r="E212" s="49">
        <f>IF(A212="","",DATE(YEAR(A212),MONTH(A212),1))</f>
        <v/>
      </c>
      <c r="F212" s="24">
        <f>IF(B212="","",IF(B212="Ingreso pasivo","Activo (pasivo)","Trabajo (activo)"))</f>
        <v/>
      </c>
    </row>
    <row r="213">
      <c r="A213" s="48" t="n"/>
      <c r="B213" s="44" t="n"/>
      <c r="C213" s="44" t="n"/>
      <c r="D213" s="45" t="n"/>
      <c r="E213" s="49">
        <f>IF(A213="","",DATE(YEAR(A213),MONTH(A213),1))</f>
        <v/>
      </c>
      <c r="F213" s="24">
        <f>IF(B213="","",IF(B213="Ingreso pasivo","Activo (pasivo)","Trabajo (activo)"))</f>
        <v/>
      </c>
    </row>
    <row r="214">
      <c r="A214" s="48" t="n"/>
      <c r="B214" s="44" t="n"/>
      <c r="C214" s="44" t="n"/>
      <c r="D214" s="45" t="n"/>
      <c r="E214" s="49">
        <f>IF(A214="","",DATE(YEAR(A214),MONTH(A214),1))</f>
        <v/>
      </c>
      <c r="F214" s="24">
        <f>IF(B214="","",IF(B214="Ingreso pasivo","Activo (pasivo)","Trabajo (activo)"))</f>
        <v/>
      </c>
    </row>
    <row r="215">
      <c r="A215" s="48" t="n"/>
      <c r="B215" s="44" t="n"/>
      <c r="C215" s="44" t="n"/>
      <c r="D215" s="45" t="n"/>
      <c r="E215" s="49">
        <f>IF(A215="","",DATE(YEAR(A215),MONTH(A215),1))</f>
        <v/>
      </c>
      <c r="F215" s="24">
        <f>IF(B215="","",IF(B215="Ingreso pasivo","Activo (pasivo)","Trabajo (activo)"))</f>
        <v/>
      </c>
    </row>
    <row r="216">
      <c r="A216" s="48" t="n"/>
      <c r="B216" s="44" t="n"/>
      <c r="C216" s="44" t="n"/>
      <c r="D216" s="45" t="n"/>
      <c r="E216" s="49">
        <f>IF(A216="","",DATE(YEAR(A216),MONTH(A216),1))</f>
        <v/>
      </c>
      <c r="F216" s="24">
        <f>IF(B216="","",IF(B216="Ingreso pasivo","Activo (pasivo)","Trabajo (activo)"))</f>
        <v/>
      </c>
    </row>
    <row r="217">
      <c r="A217" s="48" t="n"/>
      <c r="B217" s="44" t="n"/>
      <c r="C217" s="44" t="n"/>
      <c r="D217" s="45" t="n"/>
      <c r="E217" s="49">
        <f>IF(A217="","",DATE(YEAR(A217),MONTH(A217),1))</f>
        <v/>
      </c>
      <c r="F217" s="24">
        <f>IF(B217="","",IF(B217="Ingreso pasivo","Activo (pasivo)","Trabajo (activo)"))</f>
        <v/>
      </c>
    </row>
    <row r="218">
      <c r="A218" s="48" t="n"/>
      <c r="B218" s="44" t="n"/>
      <c r="C218" s="44" t="n"/>
      <c r="D218" s="45" t="n"/>
      <c r="E218" s="49">
        <f>IF(A218="","",DATE(YEAR(A218),MONTH(A218),1))</f>
        <v/>
      </c>
      <c r="F218" s="24">
        <f>IF(B218="","",IF(B218="Ingreso pasivo","Activo (pasivo)","Trabajo (activo)"))</f>
        <v/>
      </c>
    </row>
    <row r="219">
      <c r="A219" s="48" t="n"/>
      <c r="B219" s="44" t="n"/>
      <c r="C219" s="44" t="n"/>
      <c r="D219" s="45" t="n"/>
      <c r="E219" s="49">
        <f>IF(A219="","",DATE(YEAR(A219),MONTH(A219),1))</f>
        <v/>
      </c>
      <c r="F219" s="24">
        <f>IF(B219="","",IF(B219="Ingreso pasivo","Activo (pasivo)","Trabajo (activo)"))</f>
        <v/>
      </c>
    </row>
    <row r="220">
      <c r="A220" s="48" t="n"/>
      <c r="B220" s="44" t="n"/>
      <c r="C220" s="44" t="n"/>
      <c r="D220" s="45" t="n"/>
      <c r="E220" s="49">
        <f>IF(A220="","",DATE(YEAR(A220),MONTH(A220),1))</f>
        <v/>
      </c>
      <c r="F220" s="24">
        <f>IF(B220="","",IF(B220="Ingreso pasivo","Activo (pasivo)","Trabajo (activo)"))</f>
        <v/>
      </c>
    </row>
    <row r="221">
      <c r="A221" s="48" t="n"/>
      <c r="B221" s="44" t="n"/>
      <c r="C221" s="44" t="n"/>
      <c r="D221" s="45" t="n"/>
      <c r="E221" s="49">
        <f>IF(A221="","",DATE(YEAR(A221),MONTH(A221),1))</f>
        <v/>
      </c>
      <c r="F221" s="24">
        <f>IF(B221="","",IF(B221="Ingreso pasivo","Activo (pasivo)","Trabajo (activo)"))</f>
        <v/>
      </c>
    </row>
    <row r="222">
      <c r="A222" s="48" t="n"/>
      <c r="B222" s="44" t="n"/>
      <c r="C222" s="44" t="n"/>
      <c r="D222" s="45" t="n"/>
      <c r="E222" s="49">
        <f>IF(A222="","",DATE(YEAR(A222),MONTH(A222),1))</f>
        <v/>
      </c>
      <c r="F222" s="24">
        <f>IF(B222="","",IF(B222="Ingreso pasivo","Activo (pasivo)","Trabajo (activo)"))</f>
        <v/>
      </c>
    </row>
    <row r="223">
      <c r="A223" s="48" t="n"/>
      <c r="B223" s="44" t="n"/>
      <c r="C223" s="44" t="n"/>
      <c r="D223" s="45" t="n"/>
      <c r="E223" s="49">
        <f>IF(A223="","",DATE(YEAR(A223),MONTH(A223),1))</f>
        <v/>
      </c>
      <c r="F223" s="24">
        <f>IF(B223="","",IF(B223="Ingreso pasivo","Activo (pasivo)","Trabajo (activo)"))</f>
        <v/>
      </c>
    </row>
    <row r="224">
      <c r="A224" s="48" t="n"/>
      <c r="B224" s="44" t="n"/>
      <c r="C224" s="44" t="n"/>
      <c r="D224" s="45" t="n"/>
      <c r="E224" s="49">
        <f>IF(A224="","",DATE(YEAR(A224),MONTH(A224),1))</f>
        <v/>
      </c>
      <c r="F224" s="24">
        <f>IF(B224="","",IF(B224="Ingreso pasivo","Activo (pasivo)","Trabajo (activo)"))</f>
        <v/>
      </c>
    </row>
    <row r="225">
      <c r="A225" s="48" t="n"/>
      <c r="B225" s="44" t="n"/>
      <c r="C225" s="44" t="n"/>
      <c r="D225" s="45" t="n"/>
      <c r="E225" s="49">
        <f>IF(A225="","",DATE(YEAR(A225),MONTH(A225),1))</f>
        <v/>
      </c>
      <c r="F225" s="24">
        <f>IF(B225="","",IF(B225="Ingreso pasivo","Activo (pasivo)","Trabajo (activo)"))</f>
        <v/>
      </c>
    </row>
    <row r="226">
      <c r="A226" s="48" t="n"/>
      <c r="B226" s="44" t="n"/>
      <c r="C226" s="44" t="n"/>
      <c r="D226" s="45" t="n"/>
      <c r="E226" s="49">
        <f>IF(A226="","",DATE(YEAR(A226),MONTH(A226),1))</f>
        <v/>
      </c>
      <c r="F226" s="24">
        <f>IF(B226="","",IF(B226="Ingreso pasivo","Activo (pasivo)","Trabajo (activo)"))</f>
        <v/>
      </c>
    </row>
    <row r="227">
      <c r="A227" s="48" t="n"/>
      <c r="B227" s="44" t="n"/>
      <c r="C227" s="44" t="n"/>
      <c r="D227" s="45" t="n"/>
      <c r="E227" s="49">
        <f>IF(A227="","",DATE(YEAR(A227),MONTH(A227),1))</f>
        <v/>
      </c>
      <c r="F227" s="24">
        <f>IF(B227="","",IF(B227="Ingreso pasivo","Activo (pasivo)","Trabajo (activo)"))</f>
        <v/>
      </c>
    </row>
    <row r="228">
      <c r="A228" s="48" t="n"/>
      <c r="B228" s="44" t="n"/>
      <c r="C228" s="44" t="n"/>
      <c r="D228" s="45" t="n"/>
      <c r="E228" s="49">
        <f>IF(A228="","",DATE(YEAR(A228),MONTH(A228),1))</f>
        <v/>
      </c>
      <c r="F228" s="24">
        <f>IF(B228="","",IF(B228="Ingreso pasivo","Activo (pasivo)","Trabajo (activo)"))</f>
        <v/>
      </c>
    </row>
    <row r="229">
      <c r="A229" s="48" t="n"/>
      <c r="B229" s="44" t="n"/>
      <c r="C229" s="44" t="n"/>
      <c r="D229" s="45" t="n"/>
      <c r="E229" s="49">
        <f>IF(A229="","",DATE(YEAR(A229),MONTH(A229),1))</f>
        <v/>
      </c>
      <c r="F229" s="24">
        <f>IF(B229="","",IF(B229="Ingreso pasivo","Activo (pasivo)","Trabajo (activo)"))</f>
        <v/>
      </c>
    </row>
    <row r="230">
      <c r="A230" s="48" t="n"/>
      <c r="B230" s="44" t="n"/>
      <c r="C230" s="44" t="n"/>
      <c r="D230" s="45" t="n"/>
      <c r="E230" s="49">
        <f>IF(A230="","",DATE(YEAR(A230),MONTH(A230),1))</f>
        <v/>
      </c>
      <c r="F230" s="24">
        <f>IF(B230="","",IF(B230="Ingreso pasivo","Activo (pasivo)","Trabajo (activo)"))</f>
        <v/>
      </c>
    </row>
    <row r="231">
      <c r="A231" s="48" t="n"/>
      <c r="B231" s="44" t="n"/>
      <c r="C231" s="44" t="n"/>
      <c r="D231" s="45" t="n"/>
      <c r="E231" s="49">
        <f>IF(A231="","",DATE(YEAR(A231),MONTH(A231),1))</f>
        <v/>
      </c>
      <c r="F231" s="24">
        <f>IF(B231="","",IF(B231="Ingreso pasivo","Activo (pasivo)","Trabajo (activo)"))</f>
        <v/>
      </c>
    </row>
    <row r="232">
      <c r="A232" s="48" t="n"/>
      <c r="B232" s="44" t="n"/>
      <c r="C232" s="44" t="n"/>
      <c r="D232" s="45" t="n"/>
      <c r="E232" s="49">
        <f>IF(A232="","",DATE(YEAR(A232),MONTH(A232),1))</f>
        <v/>
      </c>
      <c r="F232" s="24">
        <f>IF(B232="","",IF(B232="Ingreso pasivo","Activo (pasivo)","Trabajo (activo)"))</f>
        <v/>
      </c>
    </row>
    <row r="233">
      <c r="A233" s="48" t="n"/>
      <c r="B233" s="44" t="n"/>
      <c r="C233" s="44" t="n"/>
      <c r="D233" s="45" t="n"/>
      <c r="E233" s="49">
        <f>IF(A233="","",DATE(YEAR(A233),MONTH(A233),1))</f>
        <v/>
      </c>
      <c r="F233" s="24">
        <f>IF(B233="","",IF(B233="Ingreso pasivo","Activo (pasivo)","Trabajo (activo)"))</f>
        <v/>
      </c>
    </row>
    <row r="234">
      <c r="A234" s="48" t="n"/>
      <c r="B234" s="44" t="n"/>
      <c r="C234" s="44" t="n"/>
      <c r="D234" s="45" t="n"/>
      <c r="E234" s="49">
        <f>IF(A234="","",DATE(YEAR(A234),MONTH(A234),1))</f>
        <v/>
      </c>
      <c r="F234" s="24">
        <f>IF(B234="","",IF(B234="Ingreso pasivo","Activo (pasivo)","Trabajo (activo)"))</f>
        <v/>
      </c>
    </row>
    <row r="235">
      <c r="A235" s="48" t="n"/>
      <c r="B235" s="44" t="n"/>
      <c r="C235" s="44" t="n"/>
      <c r="D235" s="45" t="n"/>
      <c r="E235" s="49">
        <f>IF(A235="","",DATE(YEAR(A235),MONTH(A235),1))</f>
        <v/>
      </c>
      <c r="F235" s="24">
        <f>IF(B235="","",IF(B235="Ingreso pasivo","Activo (pasivo)","Trabajo (activo)"))</f>
        <v/>
      </c>
    </row>
    <row r="236">
      <c r="A236" s="48" t="n"/>
      <c r="B236" s="44" t="n"/>
      <c r="C236" s="44" t="n"/>
      <c r="D236" s="45" t="n"/>
      <c r="E236" s="49">
        <f>IF(A236="","",DATE(YEAR(A236),MONTH(A236),1))</f>
        <v/>
      </c>
      <c r="F236" s="24">
        <f>IF(B236="","",IF(B236="Ingreso pasivo","Activo (pasivo)","Trabajo (activo)"))</f>
        <v/>
      </c>
    </row>
    <row r="237">
      <c r="A237" s="48" t="n"/>
      <c r="B237" s="44" t="n"/>
      <c r="C237" s="44" t="n"/>
      <c r="D237" s="45" t="n"/>
      <c r="E237" s="49">
        <f>IF(A237="","",DATE(YEAR(A237),MONTH(A237),1))</f>
        <v/>
      </c>
      <c r="F237" s="24">
        <f>IF(B237="","",IF(B237="Ingreso pasivo","Activo (pasivo)","Trabajo (activo)"))</f>
        <v/>
      </c>
    </row>
    <row r="238">
      <c r="A238" s="48" t="n"/>
      <c r="B238" s="44" t="n"/>
      <c r="C238" s="44" t="n"/>
      <c r="D238" s="45" t="n"/>
      <c r="E238" s="49">
        <f>IF(A238="","",DATE(YEAR(A238),MONTH(A238),1))</f>
        <v/>
      </c>
      <c r="F238" s="24">
        <f>IF(B238="","",IF(B238="Ingreso pasivo","Activo (pasivo)","Trabajo (activo)"))</f>
        <v/>
      </c>
    </row>
    <row r="239">
      <c r="A239" s="48" t="n"/>
      <c r="B239" s="44" t="n"/>
      <c r="C239" s="44" t="n"/>
      <c r="D239" s="45" t="n"/>
      <c r="E239" s="49">
        <f>IF(A239="","",DATE(YEAR(A239),MONTH(A239),1))</f>
        <v/>
      </c>
      <c r="F239" s="24">
        <f>IF(B239="","",IF(B239="Ingreso pasivo","Activo (pasivo)","Trabajo (activo)"))</f>
        <v/>
      </c>
    </row>
    <row r="240">
      <c r="A240" s="48" t="n"/>
      <c r="B240" s="44" t="n"/>
      <c r="C240" s="44" t="n"/>
      <c r="D240" s="45" t="n"/>
      <c r="E240" s="49">
        <f>IF(A240="","",DATE(YEAR(A240),MONTH(A240),1))</f>
        <v/>
      </c>
      <c r="F240" s="24">
        <f>IF(B240="","",IF(B240="Ingreso pasivo","Activo (pasivo)","Trabajo (activo)"))</f>
        <v/>
      </c>
    </row>
    <row r="241">
      <c r="A241" s="48" t="n"/>
      <c r="B241" s="44" t="n"/>
      <c r="C241" s="44" t="n"/>
      <c r="D241" s="45" t="n"/>
      <c r="E241" s="49">
        <f>IF(A241="","",DATE(YEAR(A241),MONTH(A241),1))</f>
        <v/>
      </c>
      <c r="F241" s="24">
        <f>IF(B241="","",IF(B241="Ingreso pasivo","Activo (pasivo)","Trabajo (activo)"))</f>
        <v/>
      </c>
    </row>
    <row r="242">
      <c r="A242" s="48" t="n"/>
      <c r="B242" s="44" t="n"/>
      <c r="C242" s="44" t="n"/>
      <c r="D242" s="45" t="n"/>
      <c r="E242" s="49">
        <f>IF(A242="","",DATE(YEAR(A242),MONTH(A242),1))</f>
        <v/>
      </c>
      <c r="F242" s="24">
        <f>IF(B242="","",IF(B242="Ingreso pasivo","Activo (pasivo)","Trabajo (activo)"))</f>
        <v/>
      </c>
    </row>
    <row r="243">
      <c r="A243" s="48" t="n"/>
      <c r="B243" s="44" t="n"/>
      <c r="C243" s="44" t="n"/>
      <c r="D243" s="45" t="n"/>
      <c r="E243" s="49">
        <f>IF(A243="","",DATE(YEAR(A243),MONTH(A243),1))</f>
        <v/>
      </c>
      <c r="F243" s="24">
        <f>IF(B243="","",IF(B243="Ingreso pasivo","Activo (pasivo)","Trabajo (activo)"))</f>
        <v/>
      </c>
    </row>
    <row r="244">
      <c r="A244" s="48" t="n"/>
      <c r="B244" s="44" t="n"/>
      <c r="C244" s="44" t="n"/>
      <c r="D244" s="45" t="n"/>
      <c r="E244" s="49">
        <f>IF(A244="","",DATE(YEAR(A244),MONTH(A244),1))</f>
        <v/>
      </c>
      <c r="F244" s="24">
        <f>IF(B244="","",IF(B244="Ingreso pasivo","Activo (pasivo)","Trabajo (activo)"))</f>
        <v/>
      </c>
    </row>
    <row r="245">
      <c r="A245" s="48" t="n"/>
      <c r="B245" s="44" t="n"/>
      <c r="C245" s="44" t="n"/>
      <c r="D245" s="45" t="n"/>
      <c r="E245" s="49">
        <f>IF(A245="","",DATE(YEAR(A245),MONTH(A245),1))</f>
        <v/>
      </c>
      <c r="F245" s="24">
        <f>IF(B245="","",IF(B245="Ingreso pasivo","Activo (pasivo)","Trabajo (activo)"))</f>
        <v/>
      </c>
    </row>
    <row r="246">
      <c r="A246" s="48" t="n"/>
      <c r="B246" s="44" t="n"/>
      <c r="C246" s="44" t="n"/>
      <c r="D246" s="45" t="n"/>
      <c r="E246" s="49">
        <f>IF(A246="","",DATE(YEAR(A246),MONTH(A246),1))</f>
        <v/>
      </c>
      <c r="F246" s="24">
        <f>IF(B246="","",IF(B246="Ingreso pasivo","Activo (pasivo)","Trabajo (activo)"))</f>
        <v/>
      </c>
    </row>
    <row r="247">
      <c r="A247" s="48" t="n"/>
      <c r="B247" s="44" t="n"/>
      <c r="C247" s="44" t="n"/>
      <c r="D247" s="45" t="n"/>
      <c r="E247" s="49">
        <f>IF(A247="","",DATE(YEAR(A247),MONTH(A247),1))</f>
        <v/>
      </c>
      <c r="F247" s="24">
        <f>IF(B247="","",IF(B247="Ingreso pasivo","Activo (pasivo)","Trabajo (activo)"))</f>
        <v/>
      </c>
    </row>
    <row r="248">
      <c r="A248" s="48" t="n"/>
      <c r="B248" s="44" t="n"/>
      <c r="C248" s="44" t="n"/>
      <c r="D248" s="45" t="n"/>
      <c r="E248" s="49">
        <f>IF(A248="","",DATE(YEAR(A248),MONTH(A248),1))</f>
        <v/>
      </c>
      <c r="F248" s="24">
        <f>IF(B248="","",IF(B248="Ingreso pasivo","Activo (pasivo)","Trabajo (activo)"))</f>
        <v/>
      </c>
    </row>
    <row r="249">
      <c r="A249" s="48" t="n"/>
      <c r="B249" s="44" t="n"/>
      <c r="C249" s="44" t="n"/>
      <c r="D249" s="45" t="n"/>
      <c r="E249" s="49">
        <f>IF(A249="","",DATE(YEAR(A249),MONTH(A249),1))</f>
        <v/>
      </c>
      <c r="F249" s="24">
        <f>IF(B249="","",IF(B249="Ingreso pasivo","Activo (pasivo)","Trabajo (activo)"))</f>
        <v/>
      </c>
    </row>
    <row r="250">
      <c r="A250" s="48" t="n"/>
      <c r="B250" s="44" t="n"/>
      <c r="C250" s="44" t="n"/>
      <c r="D250" s="45" t="n"/>
      <c r="E250" s="49">
        <f>IF(A250="","",DATE(YEAR(A250),MONTH(A250),1))</f>
        <v/>
      </c>
      <c r="F250" s="24">
        <f>IF(B250="","",IF(B250="Ingreso pasivo","Activo (pasivo)","Trabajo (activo)"))</f>
        <v/>
      </c>
    </row>
    <row r="251">
      <c r="A251" s="48" t="n"/>
      <c r="B251" s="44" t="n"/>
      <c r="C251" s="44" t="n"/>
      <c r="D251" s="45" t="n"/>
      <c r="E251" s="49">
        <f>IF(A251="","",DATE(YEAR(A251),MONTH(A251),1))</f>
        <v/>
      </c>
      <c r="F251" s="24">
        <f>IF(B251="","",IF(B251="Ingreso pasivo","Activo (pasivo)","Trabajo (activo)"))</f>
        <v/>
      </c>
    </row>
    <row r="252">
      <c r="A252" s="48" t="n"/>
      <c r="B252" s="44" t="n"/>
      <c r="C252" s="44" t="n"/>
      <c r="D252" s="45" t="n"/>
      <c r="E252" s="49">
        <f>IF(A252="","",DATE(YEAR(A252),MONTH(A252),1))</f>
        <v/>
      </c>
      <c r="F252" s="24">
        <f>IF(B252="","",IF(B252="Ingreso pasivo","Activo (pasivo)","Trabajo (activo)"))</f>
        <v/>
      </c>
    </row>
    <row r="253">
      <c r="A253" s="48" t="n"/>
      <c r="B253" s="44" t="n"/>
      <c r="C253" s="44" t="n"/>
      <c r="D253" s="45" t="n"/>
      <c r="E253" s="49">
        <f>IF(A253="","",DATE(YEAR(A253),MONTH(A253),1))</f>
        <v/>
      </c>
      <c r="F253" s="24">
        <f>IF(B253="","",IF(B253="Ingreso pasivo","Activo (pasivo)","Trabajo (activo)"))</f>
        <v/>
      </c>
    </row>
    <row r="254">
      <c r="A254" s="48" t="n"/>
      <c r="B254" s="44" t="n"/>
      <c r="C254" s="44" t="n"/>
      <c r="D254" s="45" t="n"/>
      <c r="E254" s="49">
        <f>IF(A254="","",DATE(YEAR(A254),MONTH(A254),1))</f>
        <v/>
      </c>
      <c r="F254" s="24">
        <f>IF(B254="","",IF(B254="Ingreso pasivo","Activo (pasivo)","Trabajo (activo)"))</f>
        <v/>
      </c>
    </row>
    <row r="255">
      <c r="A255" s="48" t="n"/>
      <c r="B255" s="44" t="n"/>
      <c r="C255" s="44" t="n"/>
      <c r="D255" s="45" t="n"/>
      <c r="E255" s="49">
        <f>IF(A255="","",DATE(YEAR(A255),MONTH(A255),1))</f>
        <v/>
      </c>
      <c r="F255" s="24">
        <f>IF(B255="","",IF(B255="Ingreso pasivo","Activo (pasivo)","Trabajo (activo)"))</f>
        <v/>
      </c>
    </row>
    <row r="256">
      <c r="A256" s="48" t="n"/>
      <c r="B256" s="44" t="n"/>
      <c r="C256" s="44" t="n"/>
      <c r="D256" s="45" t="n"/>
      <c r="E256" s="49">
        <f>IF(A256="","",DATE(YEAR(A256),MONTH(A256),1))</f>
        <v/>
      </c>
      <c r="F256" s="24">
        <f>IF(B256="","",IF(B256="Ingreso pasivo","Activo (pasivo)","Trabajo (activo)"))</f>
        <v/>
      </c>
    </row>
    <row r="257">
      <c r="A257" s="48" t="n"/>
      <c r="B257" s="44" t="n"/>
      <c r="C257" s="44" t="n"/>
      <c r="D257" s="45" t="n"/>
      <c r="E257" s="49">
        <f>IF(A257="","",DATE(YEAR(A257),MONTH(A257),1))</f>
        <v/>
      </c>
      <c r="F257" s="24">
        <f>IF(B257="","",IF(B257="Ingreso pasivo","Activo (pasivo)","Trabajo (activo)"))</f>
        <v/>
      </c>
    </row>
    <row r="258">
      <c r="A258" s="48" t="n"/>
      <c r="B258" s="44" t="n"/>
      <c r="C258" s="44" t="n"/>
      <c r="D258" s="45" t="n"/>
      <c r="E258" s="49">
        <f>IF(A258="","",DATE(YEAR(A258),MONTH(A258),1))</f>
        <v/>
      </c>
      <c r="F258" s="24">
        <f>IF(B258="","",IF(B258="Ingreso pasivo","Activo (pasivo)","Trabajo (activo)"))</f>
        <v/>
      </c>
    </row>
    <row r="259">
      <c r="A259" s="48" t="n"/>
      <c r="B259" s="44" t="n"/>
      <c r="C259" s="44" t="n"/>
      <c r="D259" s="45" t="n"/>
      <c r="E259" s="49">
        <f>IF(A259="","",DATE(YEAR(A259),MONTH(A259),1))</f>
        <v/>
      </c>
      <c r="F259" s="24">
        <f>IF(B259="","",IF(B259="Ingreso pasivo","Activo (pasivo)","Trabajo (activo)"))</f>
        <v/>
      </c>
    </row>
    <row r="260">
      <c r="A260" s="48" t="n"/>
      <c r="B260" s="44" t="n"/>
      <c r="C260" s="44" t="n"/>
      <c r="D260" s="45" t="n"/>
      <c r="E260" s="49">
        <f>IF(A260="","",DATE(YEAR(A260),MONTH(A260),1))</f>
        <v/>
      </c>
      <c r="F260" s="24">
        <f>IF(B260="","",IF(B260="Ingreso pasivo","Activo (pasivo)","Trabajo (activo)"))</f>
        <v/>
      </c>
    </row>
    <row r="261">
      <c r="A261" s="48" t="n"/>
      <c r="B261" s="44" t="n"/>
      <c r="C261" s="44" t="n"/>
      <c r="D261" s="45" t="n"/>
      <c r="E261" s="49">
        <f>IF(A261="","",DATE(YEAR(A261),MONTH(A261),1))</f>
        <v/>
      </c>
      <c r="F261" s="24">
        <f>IF(B261="","",IF(B261="Ingreso pasivo","Activo (pasivo)","Trabajo (activo)"))</f>
        <v/>
      </c>
    </row>
    <row r="262">
      <c r="A262" s="48" t="n"/>
      <c r="B262" s="44" t="n"/>
      <c r="C262" s="44" t="n"/>
      <c r="D262" s="45" t="n"/>
      <c r="E262" s="49">
        <f>IF(A262="","",DATE(YEAR(A262),MONTH(A262),1))</f>
        <v/>
      </c>
      <c r="F262" s="24">
        <f>IF(B262="","",IF(B262="Ingreso pasivo","Activo (pasivo)","Trabajo (activo)"))</f>
        <v/>
      </c>
    </row>
    <row r="263">
      <c r="A263" s="48" t="n"/>
      <c r="B263" s="44" t="n"/>
      <c r="C263" s="44" t="n"/>
      <c r="D263" s="45" t="n"/>
      <c r="E263" s="49">
        <f>IF(A263="","",DATE(YEAR(A263),MONTH(A263),1))</f>
        <v/>
      </c>
      <c r="F263" s="24">
        <f>IF(B263="","",IF(B263="Ingreso pasivo","Activo (pasivo)","Trabajo (activo)"))</f>
        <v/>
      </c>
    </row>
    <row r="264">
      <c r="A264" s="48" t="n"/>
      <c r="B264" s="44" t="n"/>
      <c r="C264" s="44" t="n"/>
      <c r="D264" s="45" t="n"/>
      <c r="E264" s="49">
        <f>IF(A264="","",DATE(YEAR(A264),MONTH(A264),1))</f>
        <v/>
      </c>
      <c r="F264" s="24">
        <f>IF(B264="","",IF(B264="Ingreso pasivo","Activo (pasivo)","Trabajo (activo)"))</f>
        <v/>
      </c>
    </row>
    <row r="265">
      <c r="A265" s="48" t="n"/>
      <c r="B265" s="44" t="n"/>
      <c r="C265" s="44" t="n"/>
      <c r="D265" s="45" t="n"/>
      <c r="E265" s="49">
        <f>IF(A265="","",DATE(YEAR(A265),MONTH(A265),1))</f>
        <v/>
      </c>
      <c r="F265" s="24">
        <f>IF(B265="","",IF(B265="Ingreso pasivo","Activo (pasivo)","Trabajo (activo)"))</f>
        <v/>
      </c>
    </row>
    <row r="266">
      <c r="A266" s="48" t="n"/>
      <c r="B266" s="44" t="n"/>
      <c r="C266" s="44" t="n"/>
      <c r="D266" s="45" t="n"/>
      <c r="E266" s="49">
        <f>IF(A266="","",DATE(YEAR(A266),MONTH(A266),1))</f>
        <v/>
      </c>
      <c r="F266" s="24">
        <f>IF(B266="","",IF(B266="Ingreso pasivo","Activo (pasivo)","Trabajo (activo)"))</f>
        <v/>
      </c>
    </row>
    <row r="267">
      <c r="A267" s="48" t="n"/>
      <c r="B267" s="44" t="n"/>
      <c r="C267" s="44" t="n"/>
      <c r="D267" s="45" t="n"/>
      <c r="E267" s="49">
        <f>IF(A267="","",DATE(YEAR(A267),MONTH(A267),1))</f>
        <v/>
      </c>
      <c r="F267" s="24">
        <f>IF(B267="","",IF(B267="Ingreso pasivo","Activo (pasivo)","Trabajo (activo)"))</f>
        <v/>
      </c>
    </row>
    <row r="268">
      <c r="A268" s="48" t="n"/>
      <c r="B268" s="44" t="n"/>
      <c r="C268" s="44" t="n"/>
      <c r="D268" s="45" t="n"/>
      <c r="E268" s="49">
        <f>IF(A268="","",DATE(YEAR(A268),MONTH(A268),1))</f>
        <v/>
      </c>
      <c r="F268" s="24">
        <f>IF(B268="","",IF(B268="Ingreso pasivo","Activo (pasivo)","Trabajo (activo)"))</f>
        <v/>
      </c>
    </row>
    <row r="269">
      <c r="A269" s="48" t="n"/>
      <c r="B269" s="44" t="n"/>
      <c r="C269" s="44" t="n"/>
      <c r="D269" s="45" t="n"/>
      <c r="E269" s="49">
        <f>IF(A269="","",DATE(YEAR(A269),MONTH(A269),1))</f>
        <v/>
      </c>
      <c r="F269" s="24">
        <f>IF(B269="","",IF(B269="Ingreso pasivo","Activo (pasivo)","Trabajo (activo)"))</f>
        <v/>
      </c>
    </row>
    <row r="270">
      <c r="A270" s="48" t="n"/>
      <c r="B270" s="44" t="n"/>
      <c r="C270" s="44" t="n"/>
      <c r="D270" s="45" t="n"/>
      <c r="E270" s="49">
        <f>IF(A270="","",DATE(YEAR(A270),MONTH(A270),1))</f>
        <v/>
      </c>
      <c r="F270" s="24">
        <f>IF(B270="","",IF(B270="Ingreso pasivo","Activo (pasivo)","Trabajo (activo)"))</f>
        <v/>
      </c>
    </row>
    <row r="271">
      <c r="A271" s="48" t="n"/>
      <c r="B271" s="44" t="n"/>
      <c r="C271" s="44" t="n"/>
      <c r="D271" s="45" t="n"/>
      <c r="E271" s="49">
        <f>IF(A271="","",DATE(YEAR(A271),MONTH(A271),1))</f>
        <v/>
      </c>
      <c r="F271" s="24">
        <f>IF(B271="","",IF(B271="Ingreso pasivo","Activo (pasivo)","Trabajo (activo)"))</f>
        <v/>
      </c>
    </row>
    <row r="272">
      <c r="A272" s="48" t="n"/>
      <c r="B272" s="44" t="n"/>
      <c r="C272" s="44" t="n"/>
      <c r="D272" s="45" t="n"/>
      <c r="E272" s="49">
        <f>IF(A272="","",DATE(YEAR(A272),MONTH(A272),1))</f>
        <v/>
      </c>
      <c r="F272" s="24">
        <f>IF(B272="","",IF(B272="Ingreso pasivo","Activo (pasivo)","Trabajo (activo)"))</f>
        <v/>
      </c>
    </row>
    <row r="273">
      <c r="A273" s="48" t="n"/>
      <c r="B273" s="44" t="n"/>
      <c r="C273" s="44" t="n"/>
      <c r="D273" s="45" t="n"/>
      <c r="E273" s="49">
        <f>IF(A273="","",DATE(YEAR(A273),MONTH(A273),1))</f>
        <v/>
      </c>
      <c r="F273" s="24">
        <f>IF(B273="","",IF(B273="Ingreso pasivo","Activo (pasivo)","Trabajo (activo)"))</f>
        <v/>
      </c>
    </row>
    <row r="274">
      <c r="A274" s="48" t="n"/>
      <c r="B274" s="44" t="n"/>
      <c r="C274" s="44" t="n"/>
      <c r="D274" s="45" t="n"/>
      <c r="E274" s="49">
        <f>IF(A274="","",DATE(YEAR(A274),MONTH(A274),1))</f>
        <v/>
      </c>
      <c r="F274" s="24">
        <f>IF(B274="","",IF(B274="Ingreso pasivo","Activo (pasivo)","Trabajo (activo)"))</f>
        <v/>
      </c>
    </row>
    <row r="275">
      <c r="A275" s="48" t="n"/>
      <c r="B275" s="44" t="n"/>
      <c r="C275" s="44" t="n"/>
      <c r="D275" s="45" t="n"/>
      <c r="E275" s="49">
        <f>IF(A275="","",DATE(YEAR(A275),MONTH(A275),1))</f>
        <v/>
      </c>
      <c r="F275" s="24">
        <f>IF(B275="","",IF(B275="Ingreso pasivo","Activo (pasivo)","Trabajo (activo)"))</f>
        <v/>
      </c>
    </row>
    <row r="276">
      <c r="A276" s="48" t="n"/>
      <c r="B276" s="44" t="n"/>
      <c r="C276" s="44" t="n"/>
      <c r="D276" s="45" t="n"/>
      <c r="E276" s="49">
        <f>IF(A276="","",DATE(YEAR(A276),MONTH(A276),1))</f>
        <v/>
      </c>
      <c r="F276" s="24">
        <f>IF(B276="","",IF(B276="Ingreso pasivo","Activo (pasivo)","Trabajo (activo)"))</f>
        <v/>
      </c>
    </row>
    <row r="277">
      <c r="A277" s="48" t="n"/>
      <c r="B277" s="44" t="n"/>
      <c r="C277" s="44" t="n"/>
      <c r="D277" s="45" t="n"/>
      <c r="E277" s="49">
        <f>IF(A277="","",DATE(YEAR(A277),MONTH(A277),1))</f>
        <v/>
      </c>
      <c r="F277" s="24">
        <f>IF(B277="","",IF(B277="Ingreso pasivo","Activo (pasivo)","Trabajo (activo)"))</f>
        <v/>
      </c>
    </row>
    <row r="278">
      <c r="A278" s="48" t="n"/>
      <c r="B278" s="44" t="n"/>
      <c r="C278" s="44" t="n"/>
      <c r="D278" s="45" t="n"/>
      <c r="E278" s="49">
        <f>IF(A278="","",DATE(YEAR(A278),MONTH(A278),1))</f>
        <v/>
      </c>
      <c r="F278" s="24">
        <f>IF(B278="","",IF(B278="Ingreso pasivo","Activo (pasivo)","Trabajo (activo)"))</f>
        <v/>
      </c>
    </row>
    <row r="279">
      <c r="A279" s="48" t="n"/>
      <c r="B279" s="44" t="n"/>
      <c r="C279" s="44" t="n"/>
      <c r="D279" s="45" t="n"/>
      <c r="E279" s="49">
        <f>IF(A279="","",DATE(YEAR(A279),MONTH(A279),1))</f>
        <v/>
      </c>
      <c r="F279" s="24">
        <f>IF(B279="","",IF(B279="Ingreso pasivo","Activo (pasivo)","Trabajo (activo)"))</f>
        <v/>
      </c>
    </row>
    <row r="280">
      <c r="A280" s="48" t="n"/>
      <c r="B280" s="44" t="n"/>
      <c r="C280" s="44" t="n"/>
      <c r="D280" s="45" t="n"/>
      <c r="E280" s="49">
        <f>IF(A280="","",DATE(YEAR(A280),MONTH(A280),1))</f>
        <v/>
      </c>
      <c r="F280" s="24">
        <f>IF(B280="","",IF(B280="Ingreso pasivo","Activo (pasivo)","Trabajo (activo)"))</f>
        <v/>
      </c>
    </row>
    <row r="281">
      <c r="A281" s="48" t="n"/>
      <c r="B281" s="44" t="n"/>
      <c r="C281" s="44" t="n"/>
      <c r="D281" s="45" t="n"/>
      <c r="E281" s="49">
        <f>IF(A281="","",DATE(YEAR(A281),MONTH(A281),1))</f>
        <v/>
      </c>
      <c r="F281" s="24">
        <f>IF(B281="","",IF(B281="Ingreso pasivo","Activo (pasivo)","Trabajo (activo)"))</f>
        <v/>
      </c>
    </row>
    <row r="282">
      <c r="A282" s="48" t="n"/>
      <c r="B282" s="44" t="n"/>
      <c r="C282" s="44" t="n"/>
      <c r="D282" s="45" t="n"/>
      <c r="E282" s="49">
        <f>IF(A282="","",DATE(YEAR(A282),MONTH(A282),1))</f>
        <v/>
      </c>
      <c r="F282" s="24">
        <f>IF(B282="","",IF(B282="Ingreso pasivo","Activo (pasivo)","Trabajo (activo)"))</f>
        <v/>
      </c>
    </row>
    <row r="283">
      <c r="A283" s="48" t="n"/>
      <c r="B283" s="44" t="n"/>
      <c r="C283" s="44" t="n"/>
      <c r="D283" s="45" t="n"/>
      <c r="E283" s="49">
        <f>IF(A283="","",DATE(YEAR(A283),MONTH(A283),1))</f>
        <v/>
      </c>
      <c r="F283" s="24">
        <f>IF(B283="","",IF(B283="Ingreso pasivo","Activo (pasivo)","Trabajo (activo)"))</f>
        <v/>
      </c>
    </row>
    <row r="284">
      <c r="A284" s="48" t="n"/>
      <c r="B284" s="44" t="n"/>
      <c r="C284" s="44" t="n"/>
      <c r="D284" s="45" t="n"/>
      <c r="E284" s="49">
        <f>IF(A284="","",DATE(YEAR(A284),MONTH(A284),1))</f>
        <v/>
      </c>
      <c r="F284" s="24">
        <f>IF(B284="","",IF(B284="Ingreso pasivo","Activo (pasivo)","Trabajo (activo)"))</f>
        <v/>
      </c>
    </row>
    <row r="285">
      <c r="A285" s="48" t="n"/>
      <c r="B285" s="44" t="n"/>
      <c r="C285" s="44" t="n"/>
      <c r="D285" s="45" t="n"/>
      <c r="E285" s="49">
        <f>IF(A285="","",DATE(YEAR(A285),MONTH(A285),1))</f>
        <v/>
      </c>
      <c r="F285" s="24">
        <f>IF(B285="","",IF(B285="Ingreso pasivo","Activo (pasivo)","Trabajo (activo)"))</f>
        <v/>
      </c>
    </row>
    <row r="286">
      <c r="A286" s="48" t="n"/>
      <c r="B286" s="44" t="n"/>
      <c r="C286" s="44" t="n"/>
      <c r="D286" s="45" t="n"/>
      <c r="E286" s="49">
        <f>IF(A286="","",DATE(YEAR(A286),MONTH(A286),1))</f>
        <v/>
      </c>
      <c r="F286" s="24">
        <f>IF(B286="","",IF(B286="Ingreso pasivo","Activo (pasivo)","Trabajo (activo)"))</f>
        <v/>
      </c>
    </row>
    <row r="287">
      <c r="A287" s="48" t="n"/>
      <c r="B287" s="44" t="n"/>
      <c r="C287" s="44" t="n"/>
      <c r="D287" s="45" t="n"/>
      <c r="E287" s="49">
        <f>IF(A287="","",DATE(YEAR(A287),MONTH(A287),1))</f>
        <v/>
      </c>
      <c r="F287" s="24">
        <f>IF(B287="","",IF(B287="Ingreso pasivo","Activo (pasivo)","Trabajo (activo)"))</f>
        <v/>
      </c>
    </row>
    <row r="288">
      <c r="A288" s="48" t="n"/>
      <c r="B288" s="44" t="n"/>
      <c r="C288" s="44" t="n"/>
      <c r="D288" s="45" t="n"/>
      <c r="E288" s="49">
        <f>IF(A288="","",DATE(YEAR(A288),MONTH(A288),1))</f>
        <v/>
      </c>
      <c r="F288" s="24">
        <f>IF(B288="","",IF(B288="Ingreso pasivo","Activo (pasivo)","Trabajo (activo)"))</f>
        <v/>
      </c>
    </row>
    <row r="289">
      <c r="A289" s="48" t="n"/>
      <c r="B289" s="44" t="n"/>
      <c r="C289" s="44" t="n"/>
      <c r="D289" s="45" t="n"/>
      <c r="E289" s="49">
        <f>IF(A289="","",DATE(YEAR(A289),MONTH(A289),1))</f>
        <v/>
      </c>
      <c r="F289" s="24">
        <f>IF(B289="","",IF(B289="Ingreso pasivo","Activo (pasivo)","Trabajo (activo)"))</f>
        <v/>
      </c>
    </row>
    <row r="290">
      <c r="A290" s="48" t="n"/>
      <c r="B290" s="44" t="n"/>
      <c r="C290" s="44" t="n"/>
      <c r="D290" s="45" t="n"/>
      <c r="E290" s="49">
        <f>IF(A290="","",DATE(YEAR(A290),MONTH(A290),1))</f>
        <v/>
      </c>
      <c r="F290" s="24">
        <f>IF(B290="","",IF(B290="Ingreso pasivo","Activo (pasivo)","Trabajo (activo)"))</f>
        <v/>
      </c>
    </row>
    <row r="291">
      <c r="A291" s="48" t="n"/>
      <c r="B291" s="44" t="n"/>
      <c r="C291" s="44" t="n"/>
      <c r="D291" s="45" t="n"/>
      <c r="E291" s="49">
        <f>IF(A291="","",DATE(YEAR(A291),MONTH(A291),1))</f>
        <v/>
      </c>
      <c r="F291" s="24">
        <f>IF(B291="","",IF(B291="Ingreso pasivo","Activo (pasivo)","Trabajo (activo)"))</f>
        <v/>
      </c>
    </row>
    <row r="292">
      <c r="A292" s="48" t="n"/>
      <c r="B292" s="44" t="n"/>
      <c r="C292" s="44" t="n"/>
      <c r="D292" s="45" t="n"/>
      <c r="E292" s="49">
        <f>IF(A292="","",DATE(YEAR(A292),MONTH(A292),1))</f>
        <v/>
      </c>
      <c r="F292" s="24">
        <f>IF(B292="","",IF(B292="Ingreso pasivo","Activo (pasivo)","Trabajo (activo)"))</f>
        <v/>
      </c>
    </row>
    <row r="293">
      <c r="A293" s="48" t="n"/>
      <c r="B293" s="44" t="n"/>
      <c r="C293" s="44" t="n"/>
      <c r="D293" s="45" t="n"/>
      <c r="E293" s="49">
        <f>IF(A293="","",DATE(YEAR(A293),MONTH(A293),1))</f>
        <v/>
      </c>
      <c r="F293" s="24">
        <f>IF(B293="","",IF(B293="Ingreso pasivo","Activo (pasivo)","Trabajo (activo)"))</f>
        <v/>
      </c>
    </row>
    <row r="294">
      <c r="A294" s="48" t="n"/>
      <c r="B294" s="44" t="n"/>
      <c r="C294" s="44" t="n"/>
      <c r="D294" s="45" t="n"/>
      <c r="E294" s="49">
        <f>IF(A294="","",DATE(YEAR(A294),MONTH(A294),1))</f>
        <v/>
      </c>
      <c r="F294" s="24">
        <f>IF(B294="","",IF(B294="Ingreso pasivo","Activo (pasivo)","Trabajo (activo)"))</f>
        <v/>
      </c>
    </row>
    <row r="295">
      <c r="A295" s="48" t="n"/>
      <c r="B295" s="44" t="n"/>
      <c r="C295" s="44" t="n"/>
      <c r="D295" s="45" t="n"/>
      <c r="E295" s="49">
        <f>IF(A295="","",DATE(YEAR(A295),MONTH(A295),1))</f>
        <v/>
      </c>
      <c r="F295" s="24">
        <f>IF(B295="","",IF(B295="Ingreso pasivo","Activo (pasivo)","Trabajo (activo)"))</f>
        <v/>
      </c>
    </row>
    <row r="296">
      <c r="A296" s="48" t="n"/>
      <c r="B296" s="44" t="n"/>
      <c r="C296" s="44" t="n"/>
      <c r="D296" s="45" t="n"/>
      <c r="E296" s="49">
        <f>IF(A296="","",DATE(YEAR(A296),MONTH(A296),1))</f>
        <v/>
      </c>
      <c r="F296" s="24">
        <f>IF(B296="","",IF(B296="Ingreso pasivo","Activo (pasivo)","Trabajo (activo)"))</f>
        <v/>
      </c>
    </row>
    <row r="297">
      <c r="A297" s="48" t="n"/>
      <c r="B297" s="44" t="n"/>
      <c r="C297" s="44" t="n"/>
      <c r="D297" s="45" t="n"/>
      <c r="E297" s="49">
        <f>IF(A297="","",DATE(YEAR(A297),MONTH(A297),1))</f>
        <v/>
      </c>
      <c r="F297" s="24">
        <f>IF(B297="","",IF(B297="Ingreso pasivo","Activo (pasivo)","Trabajo (activo)"))</f>
        <v/>
      </c>
    </row>
    <row r="298">
      <c r="A298" s="48" t="n"/>
      <c r="B298" s="44" t="n"/>
      <c r="C298" s="44" t="n"/>
      <c r="D298" s="45" t="n"/>
      <c r="E298" s="49">
        <f>IF(A298="","",DATE(YEAR(A298),MONTH(A298),1))</f>
        <v/>
      </c>
      <c r="F298" s="24">
        <f>IF(B298="","",IF(B298="Ingreso pasivo","Activo (pasivo)","Trabajo (activo)"))</f>
        <v/>
      </c>
    </row>
    <row r="299">
      <c r="A299" s="48" t="n"/>
      <c r="B299" s="44" t="n"/>
      <c r="C299" s="44" t="n"/>
      <c r="D299" s="45" t="n"/>
      <c r="E299" s="49">
        <f>IF(A299="","",DATE(YEAR(A299),MONTH(A299),1))</f>
        <v/>
      </c>
      <c r="F299" s="24">
        <f>IF(B299="","",IF(B299="Ingreso pasivo","Activo (pasivo)","Trabajo (activo)"))</f>
        <v/>
      </c>
    </row>
    <row r="300">
      <c r="A300" s="48" t="n"/>
      <c r="B300" s="44" t="n"/>
      <c r="C300" s="44" t="n"/>
      <c r="D300" s="45" t="n"/>
      <c r="E300" s="49">
        <f>IF(A300="","",DATE(YEAR(A300),MONTH(A300),1))</f>
        <v/>
      </c>
      <c r="F300" s="24">
        <f>IF(B300="","",IF(B300="Ingreso pasivo","Activo (pasivo)","Trabajo (activo)"))</f>
        <v/>
      </c>
    </row>
    <row r="301">
      <c r="A301" s="48" t="n"/>
      <c r="B301" s="44" t="n"/>
      <c r="C301" s="44" t="n"/>
      <c r="D301" s="45" t="n"/>
      <c r="E301" s="49">
        <f>IF(A301="","",DATE(YEAR(A301),MONTH(A301),1))</f>
        <v/>
      </c>
      <c r="F301" s="24">
        <f>IF(B301="","",IF(B301="Ingreso pasivo","Activo (pasivo)","Trabajo (activo)"))</f>
        <v/>
      </c>
    </row>
    <row r="302">
      <c r="A302" s="48" t="n"/>
      <c r="B302" s="44" t="n"/>
      <c r="C302" s="44" t="n"/>
      <c r="D302" s="45" t="n"/>
      <c r="E302" s="49">
        <f>IF(A302="","",DATE(YEAR(A302),MONTH(A302),1))</f>
        <v/>
      </c>
      <c r="F302" s="24">
        <f>IF(B302="","",IF(B302="Ingreso pasivo","Activo (pasivo)","Trabajo (activo)"))</f>
        <v/>
      </c>
    </row>
    <row r="303">
      <c r="A303" s="48" t="n"/>
      <c r="B303" s="44" t="n"/>
      <c r="C303" s="44" t="n"/>
      <c r="D303" s="45" t="n"/>
      <c r="E303" s="49">
        <f>IF(A303="","",DATE(YEAR(A303),MONTH(A303),1))</f>
        <v/>
      </c>
      <c r="F303" s="24">
        <f>IF(B303="","",IF(B303="Ingreso pasivo","Activo (pasivo)","Trabajo (activo)"))</f>
        <v/>
      </c>
    </row>
    <row r="304">
      <c r="A304" s="48" t="n"/>
      <c r="B304" s="44" t="n"/>
      <c r="C304" s="44" t="n"/>
      <c r="D304" s="45" t="n"/>
      <c r="E304" s="49">
        <f>IF(A304="","",DATE(YEAR(A304),MONTH(A304),1))</f>
        <v/>
      </c>
      <c r="F304" s="24">
        <f>IF(B304="","",IF(B304="Ingreso pasivo","Activo (pasivo)","Trabajo (activo)"))</f>
        <v/>
      </c>
    </row>
  </sheetData>
  <autoFilter ref="A4:F304"/>
  <mergeCells count="2">
    <mergeCell ref="A2:F2"/>
    <mergeCell ref="A1:F1"/>
  </mergeCells>
  <dataValidations count="1">
    <dataValidation sqref="B5:B304" showDropDown="0" showInputMessage="0" showErrorMessage="0" allowBlank="1" type="list">
      <formula1>Lista_Fuentes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M10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34" customWidth="1" min="3" max="3"/>
    <col width="15" customWidth="1" min="4" max="4"/>
    <col width="18" customWidth="1" min="5" max="5"/>
    <col width="13" customWidth="1" min="6" max="6"/>
    <col width="10" customWidth="1" min="7" max="7"/>
    <col width="13" customWidth="1" min="8" max="8"/>
    <col width="14" customWidth="1" min="10" max="10"/>
  </cols>
  <sheetData>
    <row r="1" ht="34" customHeight="1">
      <c r="A1" s="1" t="inlineStr">
        <is>
          <t>REGISTRO DE GASTOS</t>
        </is>
      </c>
    </row>
    <row r="2">
      <c r="A2" s="2" t="inlineStr">
        <is>
          <t>Anota cada gasto diario o semanal. 'Controla tus gastos' — 2ª cura de Babilonia.</t>
        </is>
      </c>
    </row>
    <row r="4" ht="30" customHeight="1">
      <c r="A4" s="15" t="inlineStr">
        <is>
          <t>Fecha</t>
        </is>
      </c>
      <c r="B4" s="15" t="inlineStr">
        <is>
          <t>Categoría</t>
        </is>
      </c>
      <c r="C4" s="15" t="inlineStr">
        <is>
          <t>Descripción</t>
        </is>
      </c>
      <c r="D4" s="15" t="inlineStr">
        <is>
          <t>Monto</t>
        </is>
      </c>
      <c r="E4" s="15" t="inlineStr">
        <is>
          <t>Método de pago</t>
        </is>
      </c>
      <c r="F4" s="15" t="inlineStr">
        <is>
          <t>Necesidad / Deseo</t>
        </is>
      </c>
      <c r="G4" s="15" t="inlineStr">
        <is>
          <t>Semana</t>
        </is>
      </c>
      <c r="H4" s="15" t="inlineStr">
        <is>
          <t>Mes</t>
        </is>
      </c>
      <c r="J4" s="11" t="inlineStr">
        <is>
          <t>Nota</t>
        </is>
      </c>
    </row>
    <row r="5">
      <c r="A5" s="48" t="n">
        <v>46266</v>
      </c>
      <c r="B5" s="44" t="inlineStr">
        <is>
          <t>Vivienda / Renta</t>
        </is>
      </c>
      <c r="C5" s="44" t="inlineStr">
        <is>
          <t>Renta septiembre</t>
        </is>
      </c>
      <c r="D5" s="45" t="n">
        <v>6500</v>
      </c>
      <c r="E5" s="44" t="inlineStr">
        <is>
          <t>Transferencia</t>
        </is>
      </c>
      <c r="F5" s="23">
        <f>IF(B5="","",IFERROR(INDEX(Cat_Tipo,MATCH(B5,Lista_Categorias,0)),"Deseo"))</f>
        <v/>
      </c>
      <c r="G5" s="23">
        <f>IF(A5="","",WEEKNUM(A5,2))</f>
        <v/>
      </c>
      <c r="H5" s="49">
        <f>IF(A5="","",DATE(YEAR(A5),MONTH(A5),1))</f>
        <v/>
      </c>
      <c r="J5" s="50" t="inlineStr">
        <is>
          <t>Los gastos con tarjeta de crédito aparecen en rojo: si no liquidas el total, se convierten en deuda con intereses.</t>
        </is>
      </c>
    </row>
    <row r="6">
      <c r="A6" s="48" t="n">
        <v>46267</v>
      </c>
      <c r="B6" s="44" t="inlineStr">
        <is>
          <t>Súper / Despensa</t>
        </is>
      </c>
      <c r="C6" s="44" t="inlineStr">
        <is>
          <t>Despensa semanal</t>
        </is>
      </c>
      <c r="D6" s="45" t="n">
        <v>920</v>
      </c>
      <c r="E6" s="44" t="inlineStr">
        <is>
          <t>Débito</t>
        </is>
      </c>
      <c r="F6" s="23">
        <f>IF(B6="","",IFERROR(INDEX(Cat_Tipo,MATCH(B6,Lista_Categorias,0)),"Deseo"))</f>
        <v/>
      </c>
      <c r="G6" s="23">
        <f>IF(A6="","",WEEKNUM(A6,2))</f>
        <v/>
      </c>
      <c r="H6" s="49">
        <f>IF(A6="","",DATE(YEAR(A6),MONTH(A6),1))</f>
        <v/>
      </c>
    </row>
    <row r="7">
      <c r="A7" s="48" t="n">
        <v>46268</v>
      </c>
      <c r="B7" s="44" t="inlineStr">
        <is>
          <t>Transporte / Gasolina</t>
        </is>
      </c>
      <c r="C7" s="44" t="inlineStr">
        <is>
          <t>Gasolina</t>
        </is>
      </c>
      <c r="D7" s="45" t="n">
        <v>600</v>
      </c>
      <c r="E7" s="44" t="inlineStr">
        <is>
          <t>Débito</t>
        </is>
      </c>
      <c r="F7" s="23">
        <f>IF(B7="","",IFERROR(INDEX(Cat_Tipo,MATCH(B7,Lista_Categorias,0)),"Deseo"))</f>
        <v/>
      </c>
      <c r="G7" s="23">
        <f>IF(A7="","",WEEKNUM(A7,2))</f>
        <v/>
      </c>
      <c r="H7" s="49">
        <f>IF(A7="","",DATE(YEAR(A7),MONTH(A7),1))</f>
        <v/>
      </c>
    </row>
    <row r="8">
      <c r="A8" s="48" t="n">
        <v>46270</v>
      </c>
      <c r="B8" s="44" t="inlineStr">
        <is>
          <t>Comida fuera / Antojos</t>
        </is>
      </c>
      <c r="C8" s="44" t="inlineStr">
        <is>
          <t>Café y pan</t>
        </is>
      </c>
      <c r="D8" s="45" t="n">
        <v>95</v>
      </c>
      <c r="E8" s="44" t="inlineStr">
        <is>
          <t>Efectivo</t>
        </is>
      </c>
      <c r="F8" s="23">
        <f>IF(B8="","",IFERROR(INDEX(Cat_Tipo,MATCH(B8,Lista_Categorias,0)),"Deseo"))</f>
        <v/>
      </c>
      <c r="G8" s="23">
        <f>IF(A8="","",WEEKNUM(A8,2))</f>
        <v/>
      </c>
      <c r="H8" s="49">
        <f>IF(A8="","",DATE(YEAR(A8),MONTH(A8),1))</f>
        <v/>
      </c>
    </row>
    <row r="9">
      <c r="A9" s="48" t="n">
        <v>46271</v>
      </c>
      <c r="B9" s="44" t="inlineStr">
        <is>
          <t>Servicios (luz, agua, gas)</t>
        </is>
      </c>
      <c r="C9" s="44" t="inlineStr">
        <is>
          <t>Recibo de luz</t>
        </is>
      </c>
      <c r="D9" s="45" t="n">
        <v>480</v>
      </c>
      <c r="E9" s="44" t="inlineStr">
        <is>
          <t>Transferencia</t>
        </is>
      </c>
      <c r="F9" s="23">
        <f>IF(B9="","",IFERROR(INDEX(Cat_Tipo,MATCH(B9,Lista_Categorias,0)),"Deseo"))</f>
        <v/>
      </c>
      <c r="G9" s="23">
        <f>IF(A9="","",WEEKNUM(A9,2))</f>
        <v/>
      </c>
      <c r="H9" s="49">
        <f>IF(A9="","",DATE(YEAR(A9),MONTH(A9),1))</f>
        <v/>
      </c>
    </row>
    <row r="10">
      <c r="A10" s="48" t="n">
        <v>46273</v>
      </c>
      <c r="B10" s="44" t="inlineStr">
        <is>
          <t>Teléfono / Internet</t>
        </is>
      </c>
      <c r="C10" s="44" t="inlineStr">
        <is>
          <t>Internet casa</t>
        </is>
      </c>
      <c r="D10" s="45" t="n">
        <v>499</v>
      </c>
      <c r="E10" s="44" t="inlineStr">
        <is>
          <t>Débito</t>
        </is>
      </c>
      <c r="F10" s="23">
        <f>IF(B10="","",IFERROR(INDEX(Cat_Tipo,MATCH(B10,Lista_Categorias,0)),"Deseo"))</f>
        <v/>
      </c>
      <c r="G10" s="23">
        <f>IF(A10="","",WEEKNUM(A10,2))</f>
        <v/>
      </c>
      <c r="H10" s="49">
        <f>IF(A10="","",DATE(YEAR(A10),MONTH(A10),1))</f>
        <v/>
      </c>
    </row>
    <row r="11">
      <c r="A11" s="48" t="n">
        <v>46274</v>
      </c>
      <c r="B11" s="44" t="inlineStr">
        <is>
          <t>Súper / Despensa</t>
        </is>
      </c>
      <c r="C11" s="44" t="inlineStr">
        <is>
          <t>Despensa semanal</t>
        </is>
      </c>
      <c r="D11" s="45" t="n">
        <v>875</v>
      </c>
      <c r="E11" s="44" t="inlineStr">
        <is>
          <t>Débito</t>
        </is>
      </c>
      <c r="F11" s="23">
        <f>IF(B11="","",IFERROR(INDEX(Cat_Tipo,MATCH(B11,Lista_Categorias,0)),"Deseo"))</f>
        <v/>
      </c>
      <c r="G11" s="23">
        <f>IF(A11="","",WEEKNUM(A11,2))</f>
        <v/>
      </c>
      <c r="H11" s="49">
        <f>IF(A11="","",DATE(YEAR(A11),MONTH(A11),1))</f>
        <v/>
      </c>
    </row>
    <row r="12">
      <c r="A12" s="48" t="n">
        <v>46277</v>
      </c>
      <c r="B12" s="44" t="inlineStr">
        <is>
          <t>Entretenimiento</t>
        </is>
      </c>
      <c r="C12" s="44" t="inlineStr">
        <is>
          <t>Cine</t>
        </is>
      </c>
      <c r="D12" s="45" t="n">
        <v>260</v>
      </c>
      <c r="E12" s="44" t="inlineStr">
        <is>
          <t>Tarjeta de crédito</t>
        </is>
      </c>
      <c r="F12" s="23">
        <f>IF(B12="","",IFERROR(INDEX(Cat_Tipo,MATCH(B12,Lista_Categorias,0)),"Deseo"))</f>
        <v/>
      </c>
      <c r="G12" s="23">
        <f>IF(A12="","",WEEKNUM(A12,2))</f>
        <v/>
      </c>
      <c r="H12" s="49">
        <f>IF(A12="","",DATE(YEAR(A12),MONTH(A12),1))</f>
        <v/>
      </c>
    </row>
    <row r="13">
      <c r="A13" s="48" t="n">
        <v>46279</v>
      </c>
      <c r="B13" s="44" t="inlineStr">
        <is>
          <t>Salud / Farmacia</t>
        </is>
      </c>
      <c r="C13" s="44" t="inlineStr">
        <is>
          <t>Medicamento</t>
        </is>
      </c>
      <c r="D13" s="45" t="n">
        <v>185</v>
      </c>
      <c r="E13" s="44" t="inlineStr">
        <is>
          <t>Efectivo</t>
        </is>
      </c>
      <c r="F13" s="23">
        <f>IF(B13="","",IFERROR(INDEX(Cat_Tipo,MATCH(B13,Lista_Categorias,0)),"Deseo"))</f>
        <v/>
      </c>
      <c r="G13" s="23">
        <f>IF(A13="","",WEEKNUM(A13,2))</f>
        <v/>
      </c>
      <c r="H13" s="49">
        <f>IF(A13="","",DATE(YEAR(A13),MONTH(A13),1))</f>
        <v/>
      </c>
    </row>
    <row r="14">
      <c r="A14" s="48" t="n">
        <v>46281</v>
      </c>
      <c r="B14" s="44" t="inlineStr">
        <is>
          <t>Súper / Despensa</t>
        </is>
      </c>
      <c r="C14" s="44" t="inlineStr">
        <is>
          <t>Despensa semanal</t>
        </is>
      </c>
      <c r="D14" s="45" t="n">
        <v>910</v>
      </c>
      <c r="E14" s="44" t="inlineStr">
        <is>
          <t>Débito</t>
        </is>
      </c>
      <c r="F14" s="23">
        <f>IF(B14="","",IFERROR(INDEX(Cat_Tipo,MATCH(B14,Lista_Categorias,0)),"Deseo"))</f>
        <v/>
      </c>
      <c r="G14" s="23">
        <f>IF(A14="","",WEEKNUM(A14,2))</f>
        <v/>
      </c>
      <c r="H14" s="49">
        <f>IF(A14="","",DATE(YEAR(A14),MONTH(A14),1))</f>
        <v/>
      </c>
    </row>
    <row r="15">
      <c r="A15" s="48" t="n">
        <v>46283</v>
      </c>
      <c r="B15" s="44" t="inlineStr">
        <is>
          <t>Suscripciones</t>
        </is>
      </c>
      <c r="C15" s="44" t="inlineStr">
        <is>
          <t>Streaming</t>
        </is>
      </c>
      <c r="D15" s="45" t="n">
        <v>219</v>
      </c>
      <c r="E15" s="44" t="inlineStr">
        <is>
          <t>Tarjeta de crédito</t>
        </is>
      </c>
      <c r="F15" s="23">
        <f>IF(B15="","",IFERROR(INDEX(Cat_Tipo,MATCH(B15,Lista_Categorias,0)),"Deseo"))</f>
        <v/>
      </c>
      <c r="G15" s="23">
        <f>IF(A15="","",WEEKNUM(A15,2))</f>
        <v/>
      </c>
      <c r="H15" s="49">
        <f>IF(A15="","",DATE(YEAR(A15),MONTH(A15),1))</f>
        <v/>
      </c>
    </row>
    <row r="16">
      <c r="A16" s="48" t="n">
        <v>46285</v>
      </c>
      <c r="B16" s="44" t="inlineStr">
        <is>
          <t>Comida fuera / Antojos</t>
        </is>
      </c>
      <c r="C16" s="44" t="inlineStr">
        <is>
          <t>Comida familiar</t>
        </is>
      </c>
      <c r="D16" s="45" t="n">
        <v>540</v>
      </c>
      <c r="E16" s="44" t="inlineStr">
        <is>
          <t>Efectivo</t>
        </is>
      </c>
      <c r="F16" s="23">
        <f>IF(B16="","",IFERROR(INDEX(Cat_Tipo,MATCH(B16,Lista_Categorias,0)),"Deseo"))</f>
        <v/>
      </c>
      <c r="G16" s="23">
        <f>IF(A16="","",WEEKNUM(A16,2))</f>
        <v/>
      </c>
      <c r="H16" s="49">
        <f>IF(A16="","",DATE(YEAR(A16),MONTH(A16),1))</f>
        <v/>
      </c>
    </row>
    <row r="17">
      <c r="A17" s="48" t="n">
        <v>46286</v>
      </c>
      <c r="B17" s="44" t="inlineStr">
        <is>
          <t>Transporte / Gasolina</t>
        </is>
      </c>
      <c r="C17" s="44" t="inlineStr">
        <is>
          <t>Gasolina</t>
        </is>
      </c>
      <c r="D17" s="45" t="n">
        <v>600</v>
      </c>
      <c r="E17" s="44" t="inlineStr">
        <is>
          <t>Débito</t>
        </is>
      </c>
      <c r="F17" s="23">
        <f>IF(B17="","",IFERROR(INDEX(Cat_Tipo,MATCH(B17,Lista_Categorias,0)),"Deseo"))</f>
        <v/>
      </c>
      <c r="G17" s="23">
        <f>IF(A17="","",WEEKNUM(A17,2))</f>
        <v/>
      </c>
      <c r="H17" s="49">
        <f>IF(A17="","",DATE(YEAR(A17),MONTH(A17),1))</f>
        <v/>
      </c>
    </row>
    <row r="18">
      <c r="A18" s="48" t="n">
        <v>46288</v>
      </c>
      <c r="B18" s="44" t="inlineStr">
        <is>
          <t>Súper / Despensa</t>
        </is>
      </c>
      <c r="C18" s="44" t="inlineStr">
        <is>
          <t>Despensa semanal</t>
        </is>
      </c>
      <c r="D18" s="45" t="n">
        <v>890</v>
      </c>
      <c r="E18" s="44" t="inlineStr">
        <is>
          <t>Débito</t>
        </is>
      </c>
      <c r="F18" s="23">
        <f>IF(B18="","",IFERROR(INDEX(Cat_Tipo,MATCH(B18,Lista_Categorias,0)),"Deseo"))</f>
        <v/>
      </c>
      <c r="G18" s="23">
        <f>IF(A18="","",WEEKNUM(A18,2))</f>
        <v/>
      </c>
      <c r="H18" s="49">
        <f>IF(A18="","",DATE(YEAR(A18),MONTH(A18),1))</f>
        <v/>
      </c>
    </row>
    <row r="19">
      <c r="A19" s="48" t="n"/>
      <c r="B19" s="44" t="n"/>
      <c r="C19" s="44" t="n"/>
      <c r="D19" s="45" t="n"/>
      <c r="E19" s="44" t="n"/>
      <c r="F19" s="23">
        <f>IF(B19="","",IFERROR(INDEX(Cat_Tipo,MATCH(B19,Lista_Categorias,0)),"Deseo"))</f>
        <v/>
      </c>
      <c r="G19" s="23">
        <f>IF(A19="","",WEEKNUM(A19,2))</f>
        <v/>
      </c>
      <c r="H19" s="49">
        <f>IF(A19="","",DATE(YEAR(A19),MONTH(A19),1))</f>
        <v/>
      </c>
    </row>
    <row r="20">
      <c r="A20" s="48" t="n"/>
      <c r="B20" s="44" t="n"/>
      <c r="C20" s="44" t="n"/>
      <c r="D20" s="45" t="n"/>
      <c r="E20" s="44" t="n"/>
      <c r="F20" s="23">
        <f>IF(B20="","",IFERROR(INDEX(Cat_Tipo,MATCH(B20,Lista_Categorias,0)),"Deseo"))</f>
        <v/>
      </c>
      <c r="G20" s="23">
        <f>IF(A20="","",WEEKNUM(A20,2))</f>
        <v/>
      </c>
      <c r="H20" s="49">
        <f>IF(A20="","",DATE(YEAR(A20),MONTH(A20),1))</f>
        <v/>
      </c>
    </row>
    <row r="21">
      <c r="A21" s="48" t="n"/>
      <c r="B21" s="44" t="n"/>
      <c r="C21" s="44" t="n"/>
      <c r="D21" s="45" t="n"/>
      <c r="E21" s="44" t="n"/>
      <c r="F21" s="23">
        <f>IF(B21="","",IFERROR(INDEX(Cat_Tipo,MATCH(B21,Lista_Categorias,0)),"Deseo"))</f>
        <v/>
      </c>
      <c r="G21" s="23">
        <f>IF(A21="","",WEEKNUM(A21,2))</f>
        <v/>
      </c>
      <c r="H21" s="49">
        <f>IF(A21="","",DATE(YEAR(A21),MONTH(A21),1))</f>
        <v/>
      </c>
    </row>
    <row r="22">
      <c r="A22" s="48" t="n"/>
      <c r="B22" s="44" t="n"/>
      <c r="C22" s="44" t="n"/>
      <c r="D22" s="45" t="n"/>
      <c r="E22" s="44" t="n"/>
      <c r="F22" s="23">
        <f>IF(B22="","",IFERROR(INDEX(Cat_Tipo,MATCH(B22,Lista_Categorias,0)),"Deseo"))</f>
        <v/>
      </c>
      <c r="G22" s="23">
        <f>IF(A22="","",WEEKNUM(A22,2))</f>
        <v/>
      </c>
      <c r="H22" s="49">
        <f>IF(A22="","",DATE(YEAR(A22),MONTH(A22),1))</f>
        <v/>
      </c>
    </row>
    <row r="23">
      <c r="A23" s="48" t="n"/>
      <c r="B23" s="44" t="n"/>
      <c r="C23" s="44" t="n"/>
      <c r="D23" s="45" t="n"/>
      <c r="E23" s="44" t="n"/>
      <c r="F23" s="23">
        <f>IF(B23="","",IFERROR(INDEX(Cat_Tipo,MATCH(B23,Lista_Categorias,0)),"Deseo"))</f>
        <v/>
      </c>
      <c r="G23" s="23">
        <f>IF(A23="","",WEEKNUM(A23,2))</f>
        <v/>
      </c>
      <c r="H23" s="49">
        <f>IF(A23="","",DATE(YEAR(A23),MONTH(A23),1))</f>
        <v/>
      </c>
    </row>
    <row r="24">
      <c r="A24" s="48" t="n"/>
      <c r="B24" s="44" t="n"/>
      <c r="C24" s="44" t="n"/>
      <c r="D24" s="45" t="n"/>
      <c r="E24" s="44" t="n"/>
      <c r="F24" s="23">
        <f>IF(B24="","",IFERROR(INDEX(Cat_Tipo,MATCH(B24,Lista_Categorias,0)),"Deseo"))</f>
        <v/>
      </c>
      <c r="G24" s="23">
        <f>IF(A24="","",WEEKNUM(A24,2))</f>
        <v/>
      </c>
      <c r="H24" s="49">
        <f>IF(A24="","",DATE(YEAR(A24),MONTH(A24),1))</f>
        <v/>
      </c>
    </row>
    <row r="25">
      <c r="A25" s="48" t="n"/>
      <c r="B25" s="44" t="n"/>
      <c r="C25" s="44" t="n"/>
      <c r="D25" s="45" t="n"/>
      <c r="E25" s="44" t="n"/>
      <c r="F25" s="23">
        <f>IF(B25="","",IFERROR(INDEX(Cat_Tipo,MATCH(B25,Lista_Categorias,0)),"Deseo"))</f>
        <v/>
      </c>
      <c r="G25" s="23">
        <f>IF(A25="","",WEEKNUM(A25,2))</f>
        <v/>
      </c>
      <c r="H25" s="49">
        <f>IF(A25="","",DATE(YEAR(A25),MONTH(A25),1))</f>
        <v/>
      </c>
    </row>
    <row r="26">
      <c r="A26" s="48" t="n"/>
      <c r="B26" s="44" t="n"/>
      <c r="C26" s="44" t="n"/>
      <c r="D26" s="45" t="n"/>
      <c r="E26" s="44" t="n"/>
      <c r="F26" s="23">
        <f>IF(B26="","",IFERROR(INDEX(Cat_Tipo,MATCH(B26,Lista_Categorias,0)),"Deseo"))</f>
        <v/>
      </c>
      <c r="G26" s="23">
        <f>IF(A26="","",WEEKNUM(A26,2))</f>
        <v/>
      </c>
      <c r="H26" s="49">
        <f>IF(A26="","",DATE(YEAR(A26),MONTH(A26),1))</f>
        <v/>
      </c>
    </row>
    <row r="27">
      <c r="A27" s="48" t="n"/>
      <c r="B27" s="44" t="n"/>
      <c r="C27" s="44" t="n"/>
      <c r="D27" s="45" t="n"/>
      <c r="E27" s="44" t="n"/>
      <c r="F27" s="23">
        <f>IF(B27="","",IFERROR(INDEX(Cat_Tipo,MATCH(B27,Lista_Categorias,0)),"Deseo"))</f>
        <v/>
      </c>
      <c r="G27" s="23">
        <f>IF(A27="","",WEEKNUM(A27,2))</f>
        <v/>
      </c>
      <c r="H27" s="49">
        <f>IF(A27="","",DATE(YEAR(A27),MONTH(A27),1))</f>
        <v/>
      </c>
    </row>
    <row r="28">
      <c r="A28" s="48" t="n"/>
      <c r="B28" s="44" t="n"/>
      <c r="C28" s="44" t="n"/>
      <c r="D28" s="45" t="n"/>
      <c r="E28" s="44" t="n"/>
      <c r="F28" s="23">
        <f>IF(B28="","",IFERROR(INDEX(Cat_Tipo,MATCH(B28,Lista_Categorias,0)),"Deseo"))</f>
        <v/>
      </c>
      <c r="G28" s="23">
        <f>IF(A28="","",WEEKNUM(A28,2))</f>
        <v/>
      </c>
      <c r="H28" s="49">
        <f>IF(A28="","",DATE(YEAR(A28),MONTH(A28),1))</f>
        <v/>
      </c>
    </row>
    <row r="29">
      <c r="A29" s="48" t="n"/>
      <c r="B29" s="44" t="n"/>
      <c r="C29" s="44" t="n"/>
      <c r="D29" s="45" t="n"/>
      <c r="E29" s="44" t="n"/>
      <c r="F29" s="23">
        <f>IF(B29="","",IFERROR(INDEX(Cat_Tipo,MATCH(B29,Lista_Categorias,0)),"Deseo"))</f>
        <v/>
      </c>
      <c r="G29" s="23">
        <f>IF(A29="","",WEEKNUM(A29,2))</f>
        <v/>
      </c>
      <c r="H29" s="49">
        <f>IF(A29="","",DATE(YEAR(A29),MONTH(A29),1))</f>
        <v/>
      </c>
    </row>
    <row r="30">
      <c r="A30" s="48" t="n"/>
      <c r="B30" s="44" t="n"/>
      <c r="C30" s="44" t="n"/>
      <c r="D30" s="45" t="n"/>
      <c r="E30" s="44" t="n"/>
      <c r="F30" s="23">
        <f>IF(B30="","",IFERROR(INDEX(Cat_Tipo,MATCH(B30,Lista_Categorias,0)),"Deseo"))</f>
        <v/>
      </c>
      <c r="G30" s="23">
        <f>IF(A30="","",WEEKNUM(A30,2))</f>
        <v/>
      </c>
      <c r="H30" s="49">
        <f>IF(A30="","",DATE(YEAR(A30),MONTH(A30),1))</f>
        <v/>
      </c>
    </row>
    <row r="31">
      <c r="A31" s="48" t="n"/>
      <c r="B31" s="44" t="n"/>
      <c r="C31" s="44" t="n"/>
      <c r="D31" s="45" t="n"/>
      <c r="E31" s="44" t="n"/>
      <c r="F31" s="23">
        <f>IF(B31="","",IFERROR(INDEX(Cat_Tipo,MATCH(B31,Lista_Categorias,0)),"Deseo"))</f>
        <v/>
      </c>
      <c r="G31" s="23">
        <f>IF(A31="","",WEEKNUM(A31,2))</f>
        <v/>
      </c>
      <c r="H31" s="49">
        <f>IF(A31="","",DATE(YEAR(A31),MONTH(A31),1))</f>
        <v/>
      </c>
    </row>
    <row r="32">
      <c r="A32" s="48" t="n"/>
      <c r="B32" s="44" t="n"/>
      <c r="C32" s="44" t="n"/>
      <c r="D32" s="45" t="n"/>
      <c r="E32" s="44" t="n"/>
      <c r="F32" s="23">
        <f>IF(B32="","",IFERROR(INDEX(Cat_Tipo,MATCH(B32,Lista_Categorias,0)),"Deseo"))</f>
        <v/>
      </c>
      <c r="G32" s="23">
        <f>IF(A32="","",WEEKNUM(A32,2))</f>
        <v/>
      </c>
      <c r="H32" s="49">
        <f>IF(A32="","",DATE(YEAR(A32),MONTH(A32),1))</f>
        <v/>
      </c>
    </row>
    <row r="33">
      <c r="A33" s="48" t="n"/>
      <c r="B33" s="44" t="n"/>
      <c r="C33" s="44" t="n"/>
      <c r="D33" s="45" t="n"/>
      <c r="E33" s="44" t="n"/>
      <c r="F33" s="23">
        <f>IF(B33="","",IFERROR(INDEX(Cat_Tipo,MATCH(B33,Lista_Categorias,0)),"Deseo"))</f>
        <v/>
      </c>
      <c r="G33" s="23">
        <f>IF(A33="","",WEEKNUM(A33,2))</f>
        <v/>
      </c>
      <c r="H33" s="49">
        <f>IF(A33="","",DATE(YEAR(A33),MONTH(A33),1))</f>
        <v/>
      </c>
    </row>
    <row r="34">
      <c r="A34" s="48" t="n"/>
      <c r="B34" s="44" t="n"/>
      <c r="C34" s="44" t="n"/>
      <c r="D34" s="45" t="n"/>
      <c r="E34" s="44" t="n"/>
      <c r="F34" s="23">
        <f>IF(B34="","",IFERROR(INDEX(Cat_Tipo,MATCH(B34,Lista_Categorias,0)),"Deseo"))</f>
        <v/>
      </c>
      <c r="G34" s="23">
        <f>IF(A34="","",WEEKNUM(A34,2))</f>
        <v/>
      </c>
      <c r="H34" s="49">
        <f>IF(A34="","",DATE(YEAR(A34),MONTH(A34),1))</f>
        <v/>
      </c>
    </row>
    <row r="35">
      <c r="A35" s="48" t="n"/>
      <c r="B35" s="44" t="n"/>
      <c r="C35" s="44" t="n"/>
      <c r="D35" s="45" t="n"/>
      <c r="E35" s="44" t="n"/>
      <c r="F35" s="23">
        <f>IF(B35="","",IFERROR(INDEX(Cat_Tipo,MATCH(B35,Lista_Categorias,0)),"Deseo"))</f>
        <v/>
      </c>
      <c r="G35" s="23">
        <f>IF(A35="","",WEEKNUM(A35,2))</f>
        <v/>
      </c>
      <c r="H35" s="49">
        <f>IF(A35="","",DATE(YEAR(A35),MONTH(A35),1))</f>
        <v/>
      </c>
    </row>
    <row r="36">
      <c r="A36" s="48" t="n"/>
      <c r="B36" s="44" t="n"/>
      <c r="C36" s="44" t="n"/>
      <c r="D36" s="45" t="n"/>
      <c r="E36" s="44" t="n"/>
      <c r="F36" s="23">
        <f>IF(B36="","",IFERROR(INDEX(Cat_Tipo,MATCH(B36,Lista_Categorias,0)),"Deseo"))</f>
        <v/>
      </c>
      <c r="G36" s="23">
        <f>IF(A36="","",WEEKNUM(A36,2))</f>
        <v/>
      </c>
      <c r="H36" s="49">
        <f>IF(A36="","",DATE(YEAR(A36),MONTH(A36),1))</f>
        <v/>
      </c>
    </row>
    <row r="37">
      <c r="A37" s="48" t="n"/>
      <c r="B37" s="44" t="n"/>
      <c r="C37" s="44" t="n"/>
      <c r="D37" s="45" t="n"/>
      <c r="E37" s="44" t="n"/>
      <c r="F37" s="23">
        <f>IF(B37="","",IFERROR(INDEX(Cat_Tipo,MATCH(B37,Lista_Categorias,0)),"Deseo"))</f>
        <v/>
      </c>
      <c r="G37" s="23">
        <f>IF(A37="","",WEEKNUM(A37,2))</f>
        <v/>
      </c>
      <c r="H37" s="49">
        <f>IF(A37="","",DATE(YEAR(A37),MONTH(A37),1))</f>
        <v/>
      </c>
    </row>
    <row r="38">
      <c r="A38" s="48" t="n"/>
      <c r="B38" s="44" t="n"/>
      <c r="C38" s="44" t="n"/>
      <c r="D38" s="45" t="n"/>
      <c r="E38" s="44" t="n"/>
      <c r="F38" s="23">
        <f>IF(B38="","",IFERROR(INDEX(Cat_Tipo,MATCH(B38,Lista_Categorias,0)),"Deseo"))</f>
        <v/>
      </c>
      <c r="G38" s="23">
        <f>IF(A38="","",WEEKNUM(A38,2))</f>
        <v/>
      </c>
      <c r="H38" s="49">
        <f>IF(A38="","",DATE(YEAR(A38),MONTH(A38),1))</f>
        <v/>
      </c>
    </row>
    <row r="39">
      <c r="A39" s="48" t="n"/>
      <c r="B39" s="44" t="n"/>
      <c r="C39" s="44" t="n"/>
      <c r="D39" s="45" t="n"/>
      <c r="E39" s="44" t="n"/>
      <c r="F39" s="23">
        <f>IF(B39="","",IFERROR(INDEX(Cat_Tipo,MATCH(B39,Lista_Categorias,0)),"Deseo"))</f>
        <v/>
      </c>
      <c r="G39" s="23">
        <f>IF(A39="","",WEEKNUM(A39,2))</f>
        <v/>
      </c>
      <c r="H39" s="49">
        <f>IF(A39="","",DATE(YEAR(A39),MONTH(A39),1))</f>
        <v/>
      </c>
    </row>
    <row r="40">
      <c r="A40" s="48" t="n"/>
      <c r="B40" s="44" t="n"/>
      <c r="C40" s="44" t="n"/>
      <c r="D40" s="45" t="n"/>
      <c r="E40" s="44" t="n"/>
      <c r="F40" s="23">
        <f>IF(B40="","",IFERROR(INDEX(Cat_Tipo,MATCH(B40,Lista_Categorias,0)),"Deseo"))</f>
        <v/>
      </c>
      <c r="G40" s="23">
        <f>IF(A40="","",WEEKNUM(A40,2))</f>
        <v/>
      </c>
      <c r="H40" s="49">
        <f>IF(A40="","",DATE(YEAR(A40),MONTH(A40),1))</f>
        <v/>
      </c>
    </row>
    <row r="41">
      <c r="A41" s="48" t="n"/>
      <c r="B41" s="44" t="n"/>
      <c r="C41" s="44" t="n"/>
      <c r="D41" s="45" t="n"/>
      <c r="E41" s="44" t="n"/>
      <c r="F41" s="23">
        <f>IF(B41="","",IFERROR(INDEX(Cat_Tipo,MATCH(B41,Lista_Categorias,0)),"Deseo"))</f>
        <v/>
      </c>
      <c r="G41" s="23">
        <f>IF(A41="","",WEEKNUM(A41,2))</f>
        <v/>
      </c>
      <c r="H41" s="49">
        <f>IF(A41="","",DATE(YEAR(A41),MONTH(A41),1))</f>
        <v/>
      </c>
    </row>
    <row r="42">
      <c r="A42" s="48" t="n"/>
      <c r="B42" s="44" t="n"/>
      <c r="C42" s="44" t="n"/>
      <c r="D42" s="45" t="n"/>
      <c r="E42" s="44" t="n"/>
      <c r="F42" s="23">
        <f>IF(B42="","",IFERROR(INDEX(Cat_Tipo,MATCH(B42,Lista_Categorias,0)),"Deseo"))</f>
        <v/>
      </c>
      <c r="G42" s="23">
        <f>IF(A42="","",WEEKNUM(A42,2))</f>
        <v/>
      </c>
      <c r="H42" s="49">
        <f>IF(A42="","",DATE(YEAR(A42),MONTH(A42),1))</f>
        <v/>
      </c>
    </row>
    <row r="43">
      <c r="A43" s="48" t="n"/>
      <c r="B43" s="44" t="n"/>
      <c r="C43" s="44" t="n"/>
      <c r="D43" s="45" t="n"/>
      <c r="E43" s="44" t="n"/>
      <c r="F43" s="23">
        <f>IF(B43="","",IFERROR(INDEX(Cat_Tipo,MATCH(B43,Lista_Categorias,0)),"Deseo"))</f>
        <v/>
      </c>
      <c r="G43" s="23">
        <f>IF(A43="","",WEEKNUM(A43,2))</f>
        <v/>
      </c>
      <c r="H43" s="49">
        <f>IF(A43="","",DATE(YEAR(A43),MONTH(A43),1))</f>
        <v/>
      </c>
    </row>
    <row r="44">
      <c r="A44" s="48" t="n"/>
      <c r="B44" s="44" t="n"/>
      <c r="C44" s="44" t="n"/>
      <c r="D44" s="45" t="n"/>
      <c r="E44" s="44" t="n"/>
      <c r="F44" s="23">
        <f>IF(B44="","",IFERROR(INDEX(Cat_Tipo,MATCH(B44,Lista_Categorias,0)),"Deseo"))</f>
        <v/>
      </c>
      <c r="G44" s="23">
        <f>IF(A44="","",WEEKNUM(A44,2))</f>
        <v/>
      </c>
      <c r="H44" s="49">
        <f>IF(A44="","",DATE(YEAR(A44),MONTH(A44),1))</f>
        <v/>
      </c>
    </row>
    <row r="45">
      <c r="A45" s="48" t="n"/>
      <c r="B45" s="44" t="n"/>
      <c r="C45" s="44" t="n"/>
      <c r="D45" s="45" t="n"/>
      <c r="E45" s="44" t="n"/>
      <c r="F45" s="23">
        <f>IF(B45="","",IFERROR(INDEX(Cat_Tipo,MATCH(B45,Lista_Categorias,0)),"Deseo"))</f>
        <v/>
      </c>
      <c r="G45" s="23">
        <f>IF(A45="","",WEEKNUM(A45,2))</f>
        <v/>
      </c>
      <c r="H45" s="49">
        <f>IF(A45="","",DATE(YEAR(A45),MONTH(A45),1))</f>
        <v/>
      </c>
    </row>
    <row r="46">
      <c r="A46" s="48" t="n"/>
      <c r="B46" s="44" t="n"/>
      <c r="C46" s="44" t="n"/>
      <c r="D46" s="45" t="n"/>
      <c r="E46" s="44" t="n"/>
      <c r="F46" s="23">
        <f>IF(B46="","",IFERROR(INDEX(Cat_Tipo,MATCH(B46,Lista_Categorias,0)),"Deseo"))</f>
        <v/>
      </c>
      <c r="G46" s="23">
        <f>IF(A46="","",WEEKNUM(A46,2))</f>
        <v/>
      </c>
      <c r="H46" s="49">
        <f>IF(A46="","",DATE(YEAR(A46),MONTH(A46),1))</f>
        <v/>
      </c>
    </row>
    <row r="47">
      <c r="A47" s="48" t="n"/>
      <c r="B47" s="44" t="n"/>
      <c r="C47" s="44" t="n"/>
      <c r="D47" s="45" t="n"/>
      <c r="E47" s="44" t="n"/>
      <c r="F47" s="23">
        <f>IF(B47="","",IFERROR(INDEX(Cat_Tipo,MATCH(B47,Lista_Categorias,0)),"Deseo"))</f>
        <v/>
      </c>
      <c r="G47" s="23">
        <f>IF(A47="","",WEEKNUM(A47,2))</f>
        <v/>
      </c>
      <c r="H47" s="49">
        <f>IF(A47="","",DATE(YEAR(A47),MONTH(A47),1))</f>
        <v/>
      </c>
    </row>
    <row r="48">
      <c r="A48" s="48" t="n"/>
      <c r="B48" s="44" t="n"/>
      <c r="C48" s="44" t="n"/>
      <c r="D48" s="45" t="n"/>
      <c r="E48" s="44" t="n"/>
      <c r="F48" s="23">
        <f>IF(B48="","",IFERROR(INDEX(Cat_Tipo,MATCH(B48,Lista_Categorias,0)),"Deseo"))</f>
        <v/>
      </c>
      <c r="G48" s="23">
        <f>IF(A48="","",WEEKNUM(A48,2))</f>
        <v/>
      </c>
      <c r="H48" s="49">
        <f>IF(A48="","",DATE(YEAR(A48),MONTH(A48),1))</f>
        <v/>
      </c>
    </row>
    <row r="49">
      <c r="A49" s="48" t="n"/>
      <c r="B49" s="44" t="n"/>
      <c r="C49" s="44" t="n"/>
      <c r="D49" s="45" t="n"/>
      <c r="E49" s="44" t="n"/>
      <c r="F49" s="23">
        <f>IF(B49="","",IFERROR(INDEX(Cat_Tipo,MATCH(B49,Lista_Categorias,0)),"Deseo"))</f>
        <v/>
      </c>
      <c r="G49" s="23">
        <f>IF(A49="","",WEEKNUM(A49,2))</f>
        <v/>
      </c>
      <c r="H49" s="49">
        <f>IF(A49="","",DATE(YEAR(A49),MONTH(A49),1))</f>
        <v/>
      </c>
    </row>
    <row r="50">
      <c r="A50" s="48" t="n"/>
      <c r="B50" s="44" t="n"/>
      <c r="C50" s="44" t="n"/>
      <c r="D50" s="45" t="n"/>
      <c r="E50" s="44" t="n"/>
      <c r="F50" s="23">
        <f>IF(B50="","",IFERROR(INDEX(Cat_Tipo,MATCH(B50,Lista_Categorias,0)),"Deseo"))</f>
        <v/>
      </c>
      <c r="G50" s="23">
        <f>IF(A50="","",WEEKNUM(A50,2))</f>
        <v/>
      </c>
      <c r="H50" s="49">
        <f>IF(A50="","",DATE(YEAR(A50),MONTH(A50),1))</f>
        <v/>
      </c>
    </row>
    <row r="51">
      <c r="A51" s="48" t="n"/>
      <c r="B51" s="44" t="n"/>
      <c r="C51" s="44" t="n"/>
      <c r="D51" s="45" t="n"/>
      <c r="E51" s="44" t="n"/>
      <c r="F51" s="23">
        <f>IF(B51="","",IFERROR(INDEX(Cat_Tipo,MATCH(B51,Lista_Categorias,0)),"Deseo"))</f>
        <v/>
      </c>
      <c r="G51" s="23">
        <f>IF(A51="","",WEEKNUM(A51,2))</f>
        <v/>
      </c>
      <c r="H51" s="49">
        <f>IF(A51="","",DATE(YEAR(A51),MONTH(A51),1))</f>
        <v/>
      </c>
    </row>
    <row r="52">
      <c r="A52" s="48" t="n"/>
      <c r="B52" s="44" t="n"/>
      <c r="C52" s="44" t="n"/>
      <c r="D52" s="45" t="n"/>
      <c r="E52" s="44" t="n"/>
      <c r="F52" s="23">
        <f>IF(B52="","",IFERROR(INDEX(Cat_Tipo,MATCH(B52,Lista_Categorias,0)),"Deseo"))</f>
        <v/>
      </c>
      <c r="G52" s="23">
        <f>IF(A52="","",WEEKNUM(A52,2))</f>
        <v/>
      </c>
      <c r="H52" s="49">
        <f>IF(A52="","",DATE(YEAR(A52),MONTH(A52),1))</f>
        <v/>
      </c>
    </row>
    <row r="53">
      <c r="A53" s="48" t="n"/>
      <c r="B53" s="44" t="n"/>
      <c r="C53" s="44" t="n"/>
      <c r="D53" s="45" t="n"/>
      <c r="E53" s="44" t="n"/>
      <c r="F53" s="23">
        <f>IF(B53="","",IFERROR(INDEX(Cat_Tipo,MATCH(B53,Lista_Categorias,0)),"Deseo"))</f>
        <v/>
      </c>
      <c r="G53" s="23">
        <f>IF(A53="","",WEEKNUM(A53,2))</f>
        <v/>
      </c>
      <c r="H53" s="49">
        <f>IF(A53="","",DATE(YEAR(A53),MONTH(A53),1))</f>
        <v/>
      </c>
    </row>
    <row r="54">
      <c r="A54" s="48" t="n"/>
      <c r="B54" s="44" t="n"/>
      <c r="C54" s="44" t="n"/>
      <c r="D54" s="45" t="n"/>
      <c r="E54" s="44" t="n"/>
      <c r="F54" s="23">
        <f>IF(B54="","",IFERROR(INDEX(Cat_Tipo,MATCH(B54,Lista_Categorias,0)),"Deseo"))</f>
        <v/>
      </c>
      <c r="G54" s="23">
        <f>IF(A54="","",WEEKNUM(A54,2))</f>
        <v/>
      </c>
      <c r="H54" s="49">
        <f>IF(A54="","",DATE(YEAR(A54),MONTH(A54),1))</f>
        <v/>
      </c>
    </row>
    <row r="55">
      <c r="A55" s="48" t="n"/>
      <c r="B55" s="44" t="n"/>
      <c r="C55" s="44" t="n"/>
      <c r="D55" s="45" t="n"/>
      <c r="E55" s="44" t="n"/>
      <c r="F55" s="23">
        <f>IF(B55="","",IFERROR(INDEX(Cat_Tipo,MATCH(B55,Lista_Categorias,0)),"Deseo"))</f>
        <v/>
      </c>
      <c r="G55" s="23">
        <f>IF(A55="","",WEEKNUM(A55,2))</f>
        <v/>
      </c>
      <c r="H55" s="49">
        <f>IF(A55="","",DATE(YEAR(A55),MONTH(A55),1))</f>
        <v/>
      </c>
    </row>
    <row r="56">
      <c r="A56" s="48" t="n"/>
      <c r="B56" s="44" t="n"/>
      <c r="C56" s="44" t="n"/>
      <c r="D56" s="45" t="n"/>
      <c r="E56" s="44" t="n"/>
      <c r="F56" s="23">
        <f>IF(B56="","",IFERROR(INDEX(Cat_Tipo,MATCH(B56,Lista_Categorias,0)),"Deseo"))</f>
        <v/>
      </c>
      <c r="G56" s="23">
        <f>IF(A56="","",WEEKNUM(A56,2))</f>
        <v/>
      </c>
      <c r="H56" s="49">
        <f>IF(A56="","",DATE(YEAR(A56),MONTH(A56),1))</f>
        <v/>
      </c>
    </row>
    <row r="57">
      <c r="A57" s="48" t="n"/>
      <c r="B57" s="44" t="n"/>
      <c r="C57" s="44" t="n"/>
      <c r="D57" s="45" t="n"/>
      <c r="E57" s="44" t="n"/>
      <c r="F57" s="23">
        <f>IF(B57="","",IFERROR(INDEX(Cat_Tipo,MATCH(B57,Lista_Categorias,0)),"Deseo"))</f>
        <v/>
      </c>
      <c r="G57" s="23">
        <f>IF(A57="","",WEEKNUM(A57,2))</f>
        <v/>
      </c>
      <c r="H57" s="49">
        <f>IF(A57="","",DATE(YEAR(A57),MONTH(A57),1))</f>
        <v/>
      </c>
    </row>
    <row r="58">
      <c r="A58" s="48" t="n"/>
      <c r="B58" s="44" t="n"/>
      <c r="C58" s="44" t="n"/>
      <c r="D58" s="45" t="n"/>
      <c r="E58" s="44" t="n"/>
      <c r="F58" s="23">
        <f>IF(B58="","",IFERROR(INDEX(Cat_Tipo,MATCH(B58,Lista_Categorias,0)),"Deseo"))</f>
        <v/>
      </c>
      <c r="G58" s="23">
        <f>IF(A58="","",WEEKNUM(A58,2))</f>
        <v/>
      </c>
      <c r="H58" s="49">
        <f>IF(A58="","",DATE(YEAR(A58),MONTH(A58),1))</f>
        <v/>
      </c>
    </row>
    <row r="59">
      <c r="A59" s="48" t="n"/>
      <c r="B59" s="44" t="n"/>
      <c r="C59" s="44" t="n"/>
      <c r="D59" s="45" t="n"/>
      <c r="E59" s="44" t="n"/>
      <c r="F59" s="23">
        <f>IF(B59="","",IFERROR(INDEX(Cat_Tipo,MATCH(B59,Lista_Categorias,0)),"Deseo"))</f>
        <v/>
      </c>
      <c r="G59" s="23">
        <f>IF(A59="","",WEEKNUM(A59,2))</f>
        <v/>
      </c>
      <c r="H59" s="49">
        <f>IF(A59="","",DATE(YEAR(A59),MONTH(A59),1))</f>
        <v/>
      </c>
    </row>
    <row r="60">
      <c r="A60" s="48" t="n"/>
      <c r="B60" s="44" t="n"/>
      <c r="C60" s="44" t="n"/>
      <c r="D60" s="45" t="n"/>
      <c r="E60" s="44" t="n"/>
      <c r="F60" s="23">
        <f>IF(B60="","",IFERROR(INDEX(Cat_Tipo,MATCH(B60,Lista_Categorias,0)),"Deseo"))</f>
        <v/>
      </c>
      <c r="G60" s="23">
        <f>IF(A60="","",WEEKNUM(A60,2))</f>
        <v/>
      </c>
      <c r="H60" s="49">
        <f>IF(A60="","",DATE(YEAR(A60),MONTH(A60),1))</f>
        <v/>
      </c>
    </row>
    <row r="61">
      <c r="A61" s="48" t="n"/>
      <c r="B61" s="44" t="n"/>
      <c r="C61" s="44" t="n"/>
      <c r="D61" s="45" t="n"/>
      <c r="E61" s="44" t="n"/>
      <c r="F61" s="23">
        <f>IF(B61="","",IFERROR(INDEX(Cat_Tipo,MATCH(B61,Lista_Categorias,0)),"Deseo"))</f>
        <v/>
      </c>
      <c r="G61" s="23">
        <f>IF(A61="","",WEEKNUM(A61,2))</f>
        <v/>
      </c>
      <c r="H61" s="49">
        <f>IF(A61="","",DATE(YEAR(A61),MONTH(A61),1))</f>
        <v/>
      </c>
    </row>
    <row r="62">
      <c r="A62" s="48" t="n"/>
      <c r="B62" s="44" t="n"/>
      <c r="C62" s="44" t="n"/>
      <c r="D62" s="45" t="n"/>
      <c r="E62" s="44" t="n"/>
      <c r="F62" s="23">
        <f>IF(B62="","",IFERROR(INDEX(Cat_Tipo,MATCH(B62,Lista_Categorias,0)),"Deseo"))</f>
        <v/>
      </c>
      <c r="G62" s="23">
        <f>IF(A62="","",WEEKNUM(A62,2))</f>
        <v/>
      </c>
      <c r="H62" s="49">
        <f>IF(A62="","",DATE(YEAR(A62),MONTH(A62),1))</f>
        <v/>
      </c>
    </row>
    <row r="63">
      <c r="A63" s="48" t="n"/>
      <c r="B63" s="44" t="n"/>
      <c r="C63" s="44" t="n"/>
      <c r="D63" s="45" t="n"/>
      <c r="E63" s="44" t="n"/>
      <c r="F63" s="23">
        <f>IF(B63="","",IFERROR(INDEX(Cat_Tipo,MATCH(B63,Lista_Categorias,0)),"Deseo"))</f>
        <v/>
      </c>
      <c r="G63" s="23">
        <f>IF(A63="","",WEEKNUM(A63,2))</f>
        <v/>
      </c>
      <c r="H63" s="49">
        <f>IF(A63="","",DATE(YEAR(A63),MONTH(A63),1))</f>
        <v/>
      </c>
    </row>
    <row r="64">
      <c r="A64" s="48" t="n"/>
      <c r="B64" s="44" t="n"/>
      <c r="C64" s="44" t="n"/>
      <c r="D64" s="45" t="n"/>
      <c r="E64" s="44" t="n"/>
      <c r="F64" s="23">
        <f>IF(B64="","",IFERROR(INDEX(Cat_Tipo,MATCH(B64,Lista_Categorias,0)),"Deseo"))</f>
        <v/>
      </c>
      <c r="G64" s="23">
        <f>IF(A64="","",WEEKNUM(A64,2))</f>
        <v/>
      </c>
      <c r="H64" s="49">
        <f>IF(A64="","",DATE(YEAR(A64),MONTH(A64),1))</f>
        <v/>
      </c>
    </row>
    <row r="65">
      <c r="A65" s="48" t="n"/>
      <c r="B65" s="44" t="n"/>
      <c r="C65" s="44" t="n"/>
      <c r="D65" s="45" t="n"/>
      <c r="E65" s="44" t="n"/>
      <c r="F65" s="23">
        <f>IF(B65="","",IFERROR(INDEX(Cat_Tipo,MATCH(B65,Lista_Categorias,0)),"Deseo"))</f>
        <v/>
      </c>
      <c r="G65" s="23">
        <f>IF(A65="","",WEEKNUM(A65,2))</f>
        <v/>
      </c>
      <c r="H65" s="49">
        <f>IF(A65="","",DATE(YEAR(A65),MONTH(A65),1))</f>
        <v/>
      </c>
    </row>
    <row r="66">
      <c r="A66" s="48" t="n"/>
      <c r="B66" s="44" t="n"/>
      <c r="C66" s="44" t="n"/>
      <c r="D66" s="45" t="n"/>
      <c r="E66" s="44" t="n"/>
      <c r="F66" s="23">
        <f>IF(B66="","",IFERROR(INDEX(Cat_Tipo,MATCH(B66,Lista_Categorias,0)),"Deseo"))</f>
        <v/>
      </c>
      <c r="G66" s="23">
        <f>IF(A66="","",WEEKNUM(A66,2))</f>
        <v/>
      </c>
      <c r="H66" s="49">
        <f>IF(A66="","",DATE(YEAR(A66),MONTH(A66),1))</f>
        <v/>
      </c>
    </row>
    <row r="67">
      <c r="A67" s="48" t="n"/>
      <c r="B67" s="44" t="n"/>
      <c r="C67" s="44" t="n"/>
      <c r="D67" s="45" t="n"/>
      <c r="E67" s="44" t="n"/>
      <c r="F67" s="23">
        <f>IF(B67="","",IFERROR(INDEX(Cat_Tipo,MATCH(B67,Lista_Categorias,0)),"Deseo"))</f>
        <v/>
      </c>
      <c r="G67" s="23">
        <f>IF(A67="","",WEEKNUM(A67,2))</f>
        <v/>
      </c>
      <c r="H67" s="49">
        <f>IF(A67="","",DATE(YEAR(A67),MONTH(A67),1))</f>
        <v/>
      </c>
    </row>
    <row r="68">
      <c r="A68" s="48" t="n"/>
      <c r="B68" s="44" t="n"/>
      <c r="C68" s="44" t="n"/>
      <c r="D68" s="45" t="n"/>
      <c r="E68" s="44" t="n"/>
      <c r="F68" s="23">
        <f>IF(B68="","",IFERROR(INDEX(Cat_Tipo,MATCH(B68,Lista_Categorias,0)),"Deseo"))</f>
        <v/>
      </c>
      <c r="G68" s="23">
        <f>IF(A68="","",WEEKNUM(A68,2))</f>
        <v/>
      </c>
      <c r="H68" s="49">
        <f>IF(A68="","",DATE(YEAR(A68),MONTH(A68),1))</f>
        <v/>
      </c>
    </row>
    <row r="69">
      <c r="A69" s="48" t="n"/>
      <c r="B69" s="44" t="n"/>
      <c r="C69" s="44" t="n"/>
      <c r="D69" s="45" t="n"/>
      <c r="E69" s="44" t="n"/>
      <c r="F69" s="23">
        <f>IF(B69="","",IFERROR(INDEX(Cat_Tipo,MATCH(B69,Lista_Categorias,0)),"Deseo"))</f>
        <v/>
      </c>
      <c r="G69" s="23">
        <f>IF(A69="","",WEEKNUM(A69,2))</f>
        <v/>
      </c>
      <c r="H69" s="49">
        <f>IF(A69="","",DATE(YEAR(A69),MONTH(A69),1))</f>
        <v/>
      </c>
    </row>
    <row r="70">
      <c r="A70" s="48" t="n"/>
      <c r="B70" s="44" t="n"/>
      <c r="C70" s="44" t="n"/>
      <c r="D70" s="45" t="n"/>
      <c r="E70" s="44" t="n"/>
      <c r="F70" s="23">
        <f>IF(B70="","",IFERROR(INDEX(Cat_Tipo,MATCH(B70,Lista_Categorias,0)),"Deseo"))</f>
        <v/>
      </c>
      <c r="G70" s="23">
        <f>IF(A70="","",WEEKNUM(A70,2))</f>
        <v/>
      </c>
      <c r="H70" s="49">
        <f>IF(A70="","",DATE(YEAR(A70),MONTH(A70),1))</f>
        <v/>
      </c>
    </row>
    <row r="71">
      <c r="A71" s="48" t="n"/>
      <c r="B71" s="44" t="n"/>
      <c r="C71" s="44" t="n"/>
      <c r="D71" s="45" t="n"/>
      <c r="E71" s="44" t="n"/>
      <c r="F71" s="23">
        <f>IF(B71="","",IFERROR(INDEX(Cat_Tipo,MATCH(B71,Lista_Categorias,0)),"Deseo"))</f>
        <v/>
      </c>
      <c r="G71" s="23">
        <f>IF(A71="","",WEEKNUM(A71,2))</f>
        <v/>
      </c>
      <c r="H71" s="49">
        <f>IF(A71="","",DATE(YEAR(A71),MONTH(A71),1))</f>
        <v/>
      </c>
    </row>
    <row r="72">
      <c r="A72" s="48" t="n"/>
      <c r="B72" s="44" t="n"/>
      <c r="C72" s="44" t="n"/>
      <c r="D72" s="45" t="n"/>
      <c r="E72" s="44" t="n"/>
      <c r="F72" s="23">
        <f>IF(B72="","",IFERROR(INDEX(Cat_Tipo,MATCH(B72,Lista_Categorias,0)),"Deseo"))</f>
        <v/>
      </c>
      <c r="G72" s="23">
        <f>IF(A72="","",WEEKNUM(A72,2))</f>
        <v/>
      </c>
      <c r="H72" s="49">
        <f>IF(A72="","",DATE(YEAR(A72),MONTH(A72),1))</f>
        <v/>
      </c>
    </row>
    <row r="73">
      <c r="A73" s="48" t="n"/>
      <c r="B73" s="44" t="n"/>
      <c r="C73" s="44" t="n"/>
      <c r="D73" s="45" t="n"/>
      <c r="E73" s="44" t="n"/>
      <c r="F73" s="23">
        <f>IF(B73="","",IFERROR(INDEX(Cat_Tipo,MATCH(B73,Lista_Categorias,0)),"Deseo"))</f>
        <v/>
      </c>
      <c r="G73" s="23">
        <f>IF(A73="","",WEEKNUM(A73,2))</f>
        <v/>
      </c>
      <c r="H73" s="49">
        <f>IF(A73="","",DATE(YEAR(A73),MONTH(A73),1))</f>
        <v/>
      </c>
    </row>
    <row r="74">
      <c r="A74" s="48" t="n"/>
      <c r="B74" s="44" t="n"/>
      <c r="C74" s="44" t="n"/>
      <c r="D74" s="45" t="n"/>
      <c r="E74" s="44" t="n"/>
      <c r="F74" s="23">
        <f>IF(B74="","",IFERROR(INDEX(Cat_Tipo,MATCH(B74,Lista_Categorias,0)),"Deseo"))</f>
        <v/>
      </c>
      <c r="G74" s="23">
        <f>IF(A74="","",WEEKNUM(A74,2))</f>
        <v/>
      </c>
      <c r="H74" s="49">
        <f>IF(A74="","",DATE(YEAR(A74),MONTH(A74),1))</f>
        <v/>
      </c>
    </row>
    <row r="75">
      <c r="A75" s="48" t="n"/>
      <c r="B75" s="44" t="n"/>
      <c r="C75" s="44" t="n"/>
      <c r="D75" s="45" t="n"/>
      <c r="E75" s="44" t="n"/>
      <c r="F75" s="23">
        <f>IF(B75="","",IFERROR(INDEX(Cat_Tipo,MATCH(B75,Lista_Categorias,0)),"Deseo"))</f>
        <v/>
      </c>
      <c r="G75" s="23">
        <f>IF(A75="","",WEEKNUM(A75,2))</f>
        <v/>
      </c>
      <c r="H75" s="49">
        <f>IF(A75="","",DATE(YEAR(A75),MONTH(A75),1))</f>
        <v/>
      </c>
    </row>
    <row r="76">
      <c r="A76" s="48" t="n"/>
      <c r="B76" s="44" t="n"/>
      <c r="C76" s="44" t="n"/>
      <c r="D76" s="45" t="n"/>
      <c r="E76" s="44" t="n"/>
      <c r="F76" s="23">
        <f>IF(B76="","",IFERROR(INDEX(Cat_Tipo,MATCH(B76,Lista_Categorias,0)),"Deseo"))</f>
        <v/>
      </c>
      <c r="G76" s="23">
        <f>IF(A76="","",WEEKNUM(A76,2))</f>
        <v/>
      </c>
      <c r="H76" s="49">
        <f>IF(A76="","",DATE(YEAR(A76),MONTH(A76),1))</f>
        <v/>
      </c>
    </row>
    <row r="77">
      <c r="A77" s="48" t="n"/>
      <c r="B77" s="44" t="n"/>
      <c r="C77" s="44" t="n"/>
      <c r="D77" s="45" t="n"/>
      <c r="E77" s="44" t="n"/>
      <c r="F77" s="23">
        <f>IF(B77="","",IFERROR(INDEX(Cat_Tipo,MATCH(B77,Lista_Categorias,0)),"Deseo"))</f>
        <v/>
      </c>
      <c r="G77" s="23">
        <f>IF(A77="","",WEEKNUM(A77,2))</f>
        <v/>
      </c>
      <c r="H77" s="49">
        <f>IF(A77="","",DATE(YEAR(A77),MONTH(A77),1))</f>
        <v/>
      </c>
    </row>
    <row r="78">
      <c r="A78" s="48" t="n"/>
      <c r="B78" s="44" t="n"/>
      <c r="C78" s="44" t="n"/>
      <c r="D78" s="45" t="n"/>
      <c r="E78" s="44" t="n"/>
      <c r="F78" s="23">
        <f>IF(B78="","",IFERROR(INDEX(Cat_Tipo,MATCH(B78,Lista_Categorias,0)),"Deseo"))</f>
        <v/>
      </c>
      <c r="G78" s="23">
        <f>IF(A78="","",WEEKNUM(A78,2))</f>
        <v/>
      </c>
      <c r="H78" s="49">
        <f>IF(A78="","",DATE(YEAR(A78),MONTH(A78),1))</f>
        <v/>
      </c>
    </row>
    <row r="79">
      <c r="A79" s="48" t="n"/>
      <c r="B79" s="44" t="n"/>
      <c r="C79" s="44" t="n"/>
      <c r="D79" s="45" t="n"/>
      <c r="E79" s="44" t="n"/>
      <c r="F79" s="23">
        <f>IF(B79="","",IFERROR(INDEX(Cat_Tipo,MATCH(B79,Lista_Categorias,0)),"Deseo"))</f>
        <v/>
      </c>
      <c r="G79" s="23">
        <f>IF(A79="","",WEEKNUM(A79,2))</f>
        <v/>
      </c>
      <c r="H79" s="49">
        <f>IF(A79="","",DATE(YEAR(A79),MONTH(A79),1))</f>
        <v/>
      </c>
    </row>
    <row r="80">
      <c r="A80" s="48" t="n"/>
      <c r="B80" s="44" t="n"/>
      <c r="C80" s="44" t="n"/>
      <c r="D80" s="45" t="n"/>
      <c r="E80" s="44" t="n"/>
      <c r="F80" s="23">
        <f>IF(B80="","",IFERROR(INDEX(Cat_Tipo,MATCH(B80,Lista_Categorias,0)),"Deseo"))</f>
        <v/>
      </c>
      <c r="G80" s="23">
        <f>IF(A80="","",WEEKNUM(A80,2))</f>
        <v/>
      </c>
      <c r="H80" s="49">
        <f>IF(A80="","",DATE(YEAR(A80),MONTH(A80),1))</f>
        <v/>
      </c>
    </row>
    <row r="81">
      <c r="A81" s="48" t="n"/>
      <c r="B81" s="44" t="n"/>
      <c r="C81" s="44" t="n"/>
      <c r="D81" s="45" t="n"/>
      <c r="E81" s="44" t="n"/>
      <c r="F81" s="23">
        <f>IF(B81="","",IFERROR(INDEX(Cat_Tipo,MATCH(B81,Lista_Categorias,0)),"Deseo"))</f>
        <v/>
      </c>
      <c r="G81" s="23">
        <f>IF(A81="","",WEEKNUM(A81,2))</f>
        <v/>
      </c>
      <c r="H81" s="49">
        <f>IF(A81="","",DATE(YEAR(A81),MONTH(A81),1))</f>
        <v/>
      </c>
    </row>
    <row r="82">
      <c r="A82" s="48" t="n"/>
      <c r="B82" s="44" t="n"/>
      <c r="C82" s="44" t="n"/>
      <c r="D82" s="45" t="n"/>
      <c r="E82" s="44" t="n"/>
      <c r="F82" s="23">
        <f>IF(B82="","",IFERROR(INDEX(Cat_Tipo,MATCH(B82,Lista_Categorias,0)),"Deseo"))</f>
        <v/>
      </c>
      <c r="G82" s="23">
        <f>IF(A82="","",WEEKNUM(A82,2))</f>
        <v/>
      </c>
      <c r="H82" s="49">
        <f>IF(A82="","",DATE(YEAR(A82),MONTH(A82),1))</f>
        <v/>
      </c>
    </row>
    <row r="83">
      <c r="A83" s="48" t="n"/>
      <c r="B83" s="44" t="n"/>
      <c r="C83" s="44" t="n"/>
      <c r="D83" s="45" t="n"/>
      <c r="E83" s="44" t="n"/>
      <c r="F83" s="23">
        <f>IF(B83="","",IFERROR(INDEX(Cat_Tipo,MATCH(B83,Lista_Categorias,0)),"Deseo"))</f>
        <v/>
      </c>
      <c r="G83" s="23">
        <f>IF(A83="","",WEEKNUM(A83,2))</f>
        <v/>
      </c>
      <c r="H83" s="49">
        <f>IF(A83="","",DATE(YEAR(A83),MONTH(A83),1))</f>
        <v/>
      </c>
    </row>
    <row r="84">
      <c r="A84" s="48" t="n"/>
      <c r="B84" s="44" t="n"/>
      <c r="C84" s="44" t="n"/>
      <c r="D84" s="45" t="n"/>
      <c r="E84" s="44" t="n"/>
      <c r="F84" s="23">
        <f>IF(B84="","",IFERROR(INDEX(Cat_Tipo,MATCH(B84,Lista_Categorias,0)),"Deseo"))</f>
        <v/>
      </c>
      <c r="G84" s="23">
        <f>IF(A84="","",WEEKNUM(A84,2))</f>
        <v/>
      </c>
      <c r="H84" s="49">
        <f>IF(A84="","",DATE(YEAR(A84),MONTH(A84),1))</f>
        <v/>
      </c>
    </row>
    <row r="85">
      <c r="A85" s="48" t="n"/>
      <c r="B85" s="44" t="n"/>
      <c r="C85" s="44" t="n"/>
      <c r="D85" s="45" t="n"/>
      <c r="E85" s="44" t="n"/>
      <c r="F85" s="23">
        <f>IF(B85="","",IFERROR(INDEX(Cat_Tipo,MATCH(B85,Lista_Categorias,0)),"Deseo"))</f>
        <v/>
      </c>
      <c r="G85" s="23">
        <f>IF(A85="","",WEEKNUM(A85,2))</f>
        <v/>
      </c>
      <c r="H85" s="49">
        <f>IF(A85="","",DATE(YEAR(A85),MONTH(A85),1))</f>
        <v/>
      </c>
    </row>
    <row r="86">
      <c r="A86" s="48" t="n"/>
      <c r="B86" s="44" t="n"/>
      <c r="C86" s="44" t="n"/>
      <c r="D86" s="45" t="n"/>
      <c r="E86" s="44" t="n"/>
      <c r="F86" s="23">
        <f>IF(B86="","",IFERROR(INDEX(Cat_Tipo,MATCH(B86,Lista_Categorias,0)),"Deseo"))</f>
        <v/>
      </c>
      <c r="G86" s="23">
        <f>IF(A86="","",WEEKNUM(A86,2))</f>
        <v/>
      </c>
      <c r="H86" s="49">
        <f>IF(A86="","",DATE(YEAR(A86),MONTH(A86),1))</f>
        <v/>
      </c>
    </row>
    <row r="87">
      <c r="A87" s="48" t="n"/>
      <c r="B87" s="44" t="n"/>
      <c r="C87" s="44" t="n"/>
      <c r="D87" s="45" t="n"/>
      <c r="E87" s="44" t="n"/>
      <c r="F87" s="23">
        <f>IF(B87="","",IFERROR(INDEX(Cat_Tipo,MATCH(B87,Lista_Categorias,0)),"Deseo"))</f>
        <v/>
      </c>
      <c r="G87" s="23">
        <f>IF(A87="","",WEEKNUM(A87,2))</f>
        <v/>
      </c>
      <c r="H87" s="49">
        <f>IF(A87="","",DATE(YEAR(A87),MONTH(A87),1))</f>
        <v/>
      </c>
    </row>
    <row r="88">
      <c r="A88" s="48" t="n"/>
      <c r="B88" s="44" t="n"/>
      <c r="C88" s="44" t="n"/>
      <c r="D88" s="45" t="n"/>
      <c r="E88" s="44" t="n"/>
      <c r="F88" s="23">
        <f>IF(B88="","",IFERROR(INDEX(Cat_Tipo,MATCH(B88,Lista_Categorias,0)),"Deseo"))</f>
        <v/>
      </c>
      <c r="G88" s="23">
        <f>IF(A88="","",WEEKNUM(A88,2))</f>
        <v/>
      </c>
      <c r="H88" s="49">
        <f>IF(A88="","",DATE(YEAR(A88),MONTH(A88),1))</f>
        <v/>
      </c>
    </row>
    <row r="89">
      <c r="A89" s="48" t="n"/>
      <c r="B89" s="44" t="n"/>
      <c r="C89" s="44" t="n"/>
      <c r="D89" s="45" t="n"/>
      <c r="E89" s="44" t="n"/>
      <c r="F89" s="23">
        <f>IF(B89="","",IFERROR(INDEX(Cat_Tipo,MATCH(B89,Lista_Categorias,0)),"Deseo"))</f>
        <v/>
      </c>
      <c r="G89" s="23">
        <f>IF(A89="","",WEEKNUM(A89,2))</f>
        <v/>
      </c>
      <c r="H89" s="49">
        <f>IF(A89="","",DATE(YEAR(A89),MONTH(A89),1))</f>
        <v/>
      </c>
    </row>
    <row r="90">
      <c r="A90" s="48" t="n"/>
      <c r="B90" s="44" t="n"/>
      <c r="C90" s="44" t="n"/>
      <c r="D90" s="45" t="n"/>
      <c r="E90" s="44" t="n"/>
      <c r="F90" s="23">
        <f>IF(B90="","",IFERROR(INDEX(Cat_Tipo,MATCH(B90,Lista_Categorias,0)),"Deseo"))</f>
        <v/>
      </c>
      <c r="G90" s="23">
        <f>IF(A90="","",WEEKNUM(A90,2))</f>
        <v/>
      </c>
      <c r="H90" s="49">
        <f>IF(A90="","",DATE(YEAR(A90),MONTH(A90),1))</f>
        <v/>
      </c>
    </row>
    <row r="91">
      <c r="A91" s="48" t="n"/>
      <c r="B91" s="44" t="n"/>
      <c r="C91" s="44" t="n"/>
      <c r="D91" s="45" t="n"/>
      <c r="E91" s="44" t="n"/>
      <c r="F91" s="23">
        <f>IF(B91="","",IFERROR(INDEX(Cat_Tipo,MATCH(B91,Lista_Categorias,0)),"Deseo"))</f>
        <v/>
      </c>
      <c r="G91" s="23">
        <f>IF(A91="","",WEEKNUM(A91,2))</f>
        <v/>
      </c>
      <c r="H91" s="49">
        <f>IF(A91="","",DATE(YEAR(A91),MONTH(A91),1))</f>
        <v/>
      </c>
    </row>
    <row r="92">
      <c r="A92" s="48" t="n"/>
      <c r="B92" s="44" t="n"/>
      <c r="C92" s="44" t="n"/>
      <c r="D92" s="45" t="n"/>
      <c r="E92" s="44" t="n"/>
      <c r="F92" s="23">
        <f>IF(B92="","",IFERROR(INDEX(Cat_Tipo,MATCH(B92,Lista_Categorias,0)),"Deseo"))</f>
        <v/>
      </c>
      <c r="G92" s="23">
        <f>IF(A92="","",WEEKNUM(A92,2))</f>
        <v/>
      </c>
      <c r="H92" s="49">
        <f>IF(A92="","",DATE(YEAR(A92),MONTH(A92),1))</f>
        <v/>
      </c>
    </row>
    <row r="93">
      <c r="A93" s="48" t="n"/>
      <c r="B93" s="44" t="n"/>
      <c r="C93" s="44" t="n"/>
      <c r="D93" s="45" t="n"/>
      <c r="E93" s="44" t="n"/>
      <c r="F93" s="23">
        <f>IF(B93="","",IFERROR(INDEX(Cat_Tipo,MATCH(B93,Lista_Categorias,0)),"Deseo"))</f>
        <v/>
      </c>
      <c r="G93" s="23">
        <f>IF(A93="","",WEEKNUM(A93,2))</f>
        <v/>
      </c>
      <c r="H93" s="49">
        <f>IF(A93="","",DATE(YEAR(A93),MONTH(A93),1))</f>
        <v/>
      </c>
    </row>
    <row r="94">
      <c r="A94" s="48" t="n"/>
      <c r="B94" s="44" t="n"/>
      <c r="C94" s="44" t="n"/>
      <c r="D94" s="45" t="n"/>
      <c r="E94" s="44" t="n"/>
      <c r="F94" s="23">
        <f>IF(B94="","",IFERROR(INDEX(Cat_Tipo,MATCH(B94,Lista_Categorias,0)),"Deseo"))</f>
        <v/>
      </c>
      <c r="G94" s="23">
        <f>IF(A94="","",WEEKNUM(A94,2))</f>
        <v/>
      </c>
      <c r="H94" s="49">
        <f>IF(A94="","",DATE(YEAR(A94),MONTH(A94),1))</f>
        <v/>
      </c>
    </row>
    <row r="95">
      <c r="A95" s="48" t="n"/>
      <c r="B95" s="44" t="n"/>
      <c r="C95" s="44" t="n"/>
      <c r="D95" s="45" t="n"/>
      <c r="E95" s="44" t="n"/>
      <c r="F95" s="23">
        <f>IF(B95="","",IFERROR(INDEX(Cat_Tipo,MATCH(B95,Lista_Categorias,0)),"Deseo"))</f>
        <v/>
      </c>
      <c r="G95" s="23">
        <f>IF(A95="","",WEEKNUM(A95,2))</f>
        <v/>
      </c>
      <c r="H95" s="49">
        <f>IF(A95="","",DATE(YEAR(A95),MONTH(A95),1))</f>
        <v/>
      </c>
    </row>
    <row r="96">
      <c r="A96" s="48" t="n"/>
      <c r="B96" s="44" t="n"/>
      <c r="C96" s="44" t="n"/>
      <c r="D96" s="45" t="n"/>
      <c r="E96" s="44" t="n"/>
      <c r="F96" s="23">
        <f>IF(B96="","",IFERROR(INDEX(Cat_Tipo,MATCH(B96,Lista_Categorias,0)),"Deseo"))</f>
        <v/>
      </c>
      <c r="G96" s="23">
        <f>IF(A96="","",WEEKNUM(A96,2))</f>
        <v/>
      </c>
      <c r="H96" s="49">
        <f>IF(A96="","",DATE(YEAR(A96),MONTH(A96),1))</f>
        <v/>
      </c>
    </row>
    <row r="97">
      <c r="A97" s="48" t="n"/>
      <c r="B97" s="44" t="n"/>
      <c r="C97" s="44" t="n"/>
      <c r="D97" s="45" t="n"/>
      <c r="E97" s="44" t="n"/>
      <c r="F97" s="23">
        <f>IF(B97="","",IFERROR(INDEX(Cat_Tipo,MATCH(B97,Lista_Categorias,0)),"Deseo"))</f>
        <v/>
      </c>
      <c r="G97" s="23">
        <f>IF(A97="","",WEEKNUM(A97,2))</f>
        <v/>
      </c>
      <c r="H97" s="49">
        <f>IF(A97="","",DATE(YEAR(A97),MONTH(A97),1))</f>
        <v/>
      </c>
    </row>
    <row r="98">
      <c r="A98" s="48" t="n"/>
      <c r="B98" s="44" t="n"/>
      <c r="C98" s="44" t="n"/>
      <c r="D98" s="45" t="n"/>
      <c r="E98" s="44" t="n"/>
      <c r="F98" s="23">
        <f>IF(B98="","",IFERROR(INDEX(Cat_Tipo,MATCH(B98,Lista_Categorias,0)),"Deseo"))</f>
        <v/>
      </c>
      <c r="G98" s="23">
        <f>IF(A98="","",WEEKNUM(A98,2))</f>
        <v/>
      </c>
      <c r="H98" s="49">
        <f>IF(A98="","",DATE(YEAR(A98),MONTH(A98),1))</f>
        <v/>
      </c>
    </row>
    <row r="99">
      <c r="A99" s="48" t="n"/>
      <c r="B99" s="44" t="n"/>
      <c r="C99" s="44" t="n"/>
      <c r="D99" s="45" t="n"/>
      <c r="E99" s="44" t="n"/>
      <c r="F99" s="23">
        <f>IF(B99="","",IFERROR(INDEX(Cat_Tipo,MATCH(B99,Lista_Categorias,0)),"Deseo"))</f>
        <v/>
      </c>
      <c r="G99" s="23">
        <f>IF(A99="","",WEEKNUM(A99,2))</f>
        <v/>
      </c>
      <c r="H99" s="49">
        <f>IF(A99="","",DATE(YEAR(A99),MONTH(A99),1))</f>
        <v/>
      </c>
    </row>
    <row r="100">
      <c r="A100" s="48" t="n"/>
      <c r="B100" s="44" t="n"/>
      <c r="C100" s="44" t="n"/>
      <c r="D100" s="45" t="n"/>
      <c r="E100" s="44" t="n"/>
      <c r="F100" s="23">
        <f>IF(B100="","",IFERROR(INDEX(Cat_Tipo,MATCH(B100,Lista_Categorias,0)),"Deseo"))</f>
        <v/>
      </c>
      <c r="G100" s="23">
        <f>IF(A100="","",WEEKNUM(A100,2))</f>
        <v/>
      </c>
      <c r="H100" s="49">
        <f>IF(A100="","",DATE(YEAR(A100),MONTH(A100),1))</f>
        <v/>
      </c>
    </row>
    <row r="101">
      <c r="A101" s="48" t="n"/>
      <c r="B101" s="44" t="n"/>
      <c r="C101" s="44" t="n"/>
      <c r="D101" s="45" t="n"/>
      <c r="E101" s="44" t="n"/>
      <c r="F101" s="23">
        <f>IF(B101="","",IFERROR(INDEX(Cat_Tipo,MATCH(B101,Lista_Categorias,0)),"Deseo"))</f>
        <v/>
      </c>
      <c r="G101" s="23">
        <f>IF(A101="","",WEEKNUM(A101,2))</f>
        <v/>
      </c>
      <c r="H101" s="49">
        <f>IF(A101="","",DATE(YEAR(A101),MONTH(A101),1))</f>
        <v/>
      </c>
    </row>
    <row r="102">
      <c r="A102" s="48" t="n"/>
      <c r="B102" s="44" t="n"/>
      <c r="C102" s="44" t="n"/>
      <c r="D102" s="45" t="n"/>
      <c r="E102" s="44" t="n"/>
      <c r="F102" s="23">
        <f>IF(B102="","",IFERROR(INDEX(Cat_Tipo,MATCH(B102,Lista_Categorias,0)),"Deseo"))</f>
        <v/>
      </c>
      <c r="G102" s="23">
        <f>IF(A102="","",WEEKNUM(A102,2))</f>
        <v/>
      </c>
      <c r="H102" s="49">
        <f>IF(A102="","",DATE(YEAR(A102),MONTH(A102),1))</f>
        <v/>
      </c>
    </row>
    <row r="103">
      <c r="A103" s="48" t="n"/>
      <c r="B103" s="44" t="n"/>
      <c r="C103" s="44" t="n"/>
      <c r="D103" s="45" t="n"/>
      <c r="E103" s="44" t="n"/>
      <c r="F103" s="23">
        <f>IF(B103="","",IFERROR(INDEX(Cat_Tipo,MATCH(B103,Lista_Categorias,0)),"Deseo"))</f>
        <v/>
      </c>
      <c r="G103" s="23">
        <f>IF(A103="","",WEEKNUM(A103,2))</f>
        <v/>
      </c>
      <c r="H103" s="49">
        <f>IF(A103="","",DATE(YEAR(A103),MONTH(A103),1))</f>
        <v/>
      </c>
    </row>
    <row r="104">
      <c r="A104" s="48" t="n"/>
      <c r="B104" s="44" t="n"/>
      <c r="C104" s="44" t="n"/>
      <c r="D104" s="45" t="n"/>
      <c r="E104" s="44" t="n"/>
      <c r="F104" s="23">
        <f>IF(B104="","",IFERROR(INDEX(Cat_Tipo,MATCH(B104,Lista_Categorias,0)),"Deseo"))</f>
        <v/>
      </c>
      <c r="G104" s="23">
        <f>IF(A104="","",WEEKNUM(A104,2))</f>
        <v/>
      </c>
      <c r="H104" s="49">
        <f>IF(A104="","",DATE(YEAR(A104),MONTH(A104),1))</f>
        <v/>
      </c>
    </row>
    <row r="105">
      <c r="A105" s="48" t="n"/>
      <c r="B105" s="44" t="n"/>
      <c r="C105" s="44" t="n"/>
      <c r="D105" s="45" t="n"/>
      <c r="E105" s="44" t="n"/>
      <c r="F105" s="23">
        <f>IF(B105="","",IFERROR(INDEX(Cat_Tipo,MATCH(B105,Lista_Categorias,0)),"Deseo"))</f>
        <v/>
      </c>
      <c r="G105" s="23">
        <f>IF(A105="","",WEEKNUM(A105,2))</f>
        <v/>
      </c>
      <c r="H105" s="49">
        <f>IF(A105="","",DATE(YEAR(A105),MONTH(A105),1))</f>
        <v/>
      </c>
    </row>
    <row r="106">
      <c r="A106" s="48" t="n"/>
      <c r="B106" s="44" t="n"/>
      <c r="C106" s="44" t="n"/>
      <c r="D106" s="45" t="n"/>
      <c r="E106" s="44" t="n"/>
      <c r="F106" s="23">
        <f>IF(B106="","",IFERROR(INDEX(Cat_Tipo,MATCH(B106,Lista_Categorias,0)),"Deseo"))</f>
        <v/>
      </c>
      <c r="G106" s="23">
        <f>IF(A106="","",WEEKNUM(A106,2))</f>
        <v/>
      </c>
      <c r="H106" s="49">
        <f>IF(A106="","",DATE(YEAR(A106),MONTH(A106),1))</f>
        <v/>
      </c>
    </row>
    <row r="107">
      <c r="A107" s="48" t="n"/>
      <c r="B107" s="44" t="n"/>
      <c r="C107" s="44" t="n"/>
      <c r="D107" s="45" t="n"/>
      <c r="E107" s="44" t="n"/>
      <c r="F107" s="23">
        <f>IF(B107="","",IFERROR(INDEX(Cat_Tipo,MATCH(B107,Lista_Categorias,0)),"Deseo"))</f>
        <v/>
      </c>
      <c r="G107" s="23">
        <f>IF(A107="","",WEEKNUM(A107,2))</f>
        <v/>
      </c>
      <c r="H107" s="49">
        <f>IF(A107="","",DATE(YEAR(A107),MONTH(A107),1))</f>
        <v/>
      </c>
    </row>
    <row r="108">
      <c r="A108" s="48" t="n"/>
      <c r="B108" s="44" t="n"/>
      <c r="C108" s="44" t="n"/>
      <c r="D108" s="45" t="n"/>
      <c r="E108" s="44" t="n"/>
      <c r="F108" s="23">
        <f>IF(B108="","",IFERROR(INDEX(Cat_Tipo,MATCH(B108,Lista_Categorias,0)),"Deseo"))</f>
        <v/>
      </c>
      <c r="G108" s="23">
        <f>IF(A108="","",WEEKNUM(A108,2))</f>
        <v/>
      </c>
      <c r="H108" s="49">
        <f>IF(A108="","",DATE(YEAR(A108),MONTH(A108),1))</f>
        <v/>
      </c>
    </row>
    <row r="109">
      <c r="A109" s="48" t="n"/>
      <c r="B109" s="44" t="n"/>
      <c r="C109" s="44" t="n"/>
      <c r="D109" s="45" t="n"/>
      <c r="E109" s="44" t="n"/>
      <c r="F109" s="23">
        <f>IF(B109="","",IFERROR(INDEX(Cat_Tipo,MATCH(B109,Lista_Categorias,0)),"Deseo"))</f>
        <v/>
      </c>
      <c r="G109" s="23">
        <f>IF(A109="","",WEEKNUM(A109,2))</f>
        <v/>
      </c>
      <c r="H109" s="49">
        <f>IF(A109="","",DATE(YEAR(A109),MONTH(A109),1))</f>
        <v/>
      </c>
    </row>
    <row r="110">
      <c r="A110" s="48" t="n"/>
      <c r="B110" s="44" t="n"/>
      <c r="C110" s="44" t="n"/>
      <c r="D110" s="45" t="n"/>
      <c r="E110" s="44" t="n"/>
      <c r="F110" s="23">
        <f>IF(B110="","",IFERROR(INDEX(Cat_Tipo,MATCH(B110,Lista_Categorias,0)),"Deseo"))</f>
        <v/>
      </c>
      <c r="G110" s="23">
        <f>IF(A110="","",WEEKNUM(A110,2))</f>
        <v/>
      </c>
      <c r="H110" s="49">
        <f>IF(A110="","",DATE(YEAR(A110),MONTH(A110),1))</f>
        <v/>
      </c>
    </row>
    <row r="111">
      <c r="A111" s="48" t="n"/>
      <c r="B111" s="44" t="n"/>
      <c r="C111" s="44" t="n"/>
      <c r="D111" s="45" t="n"/>
      <c r="E111" s="44" t="n"/>
      <c r="F111" s="23">
        <f>IF(B111="","",IFERROR(INDEX(Cat_Tipo,MATCH(B111,Lista_Categorias,0)),"Deseo"))</f>
        <v/>
      </c>
      <c r="G111" s="23">
        <f>IF(A111="","",WEEKNUM(A111,2))</f>
        <v/>
      </c>
      <c r="H111" s="49">
        <f>IF(A111="","",DATE(YEAR(A111),MONTH(A111),1))</f>
        <v/>
      </c>
    </row>
    <row r="112">
      <c r="A112" s="48" t="n"/>
      <c r="B112" s="44" t="n"/>
      <c r="C112" s="44" t="n"/>
      <c r="D112" s="45" t="n"/>
      <c r="E112" s="44" t="n"/>
      <c r="F112" s="23">
        <f>IF(B112="","",IFERROR(INDEX(Cat_Tipo,MATCH(B112,Lista_Categorias,0)),"Deseo"))</f>
        <v/>
      </c>
      <c r="G112" s="23">
        <f>IF(A112="","",WEEKNUM(A112,2))</f>
        <v/>
      </c>
      <c r="H112" s="49">
        <f>IF(A112="","",DATE(YEAR(A112),MONTH(A112),1))</f>
        <v/>
      </c>
    </row>
    <row r="113">
      <c r="A113" s="48" t="n"/>
      <c r="B113" s="44" t="n"/>
      <c r="C113" s="44" t="n"/>
      <c r="D113" s="45" t="n"/>
      <c r="E113" s="44" t="n"/>
      <c r="F113" s="23">
        <f>IF(B113="","",IFERROR(INDEX(Cat_Tipo,MATCH(B113,Lista_Categorias,0)),"Deseo"))</f>
        <v/>
      </c>
      <c r="G113" s="23">
        <f>IF(A113="","",WEEKNUM(A113,2))</f>
        <v/>
      </c>
      <c r="H113" s="49">
        <f>IF(A113="","",DATE(YEAR(A113),MONTH(A113),1))</f>
        <v/>
      </c>
    </row>
    <row r="114">
      <c r="A114" s="48" t="n"/>
      <c r="B114" s="44" t="n"/>
      <c r="C114" s="44" t="n"/>
      <c r="D114" s="45" t="n"/>
      <c r="E114" s="44" t="n"/>
      <c r="F114" s="23">
        <f>IF(B114="","",IFERROR(INDEX(Cat_Tipo,MATCH(B114,Lista_Categorias,0)),"Deseo"))</f>
        <v/>
      </c>
      <c r="G114" s="23">
        <f>IF(A114="","",WEEKNUM(A114,2))</f>
        <v/>
      </c>
      <c r="H114" s="49">
        <f>IF(A114="","",DATE(YEAR(A114),MONTH(A114),1))</f>
        <v/>
      </c>
    </row>
    <row r="115">
      <c r="A115" s="48" t="n"/>
      <c r="B115" s="44" t="n"/>
      <c r="C115" s="44" t="n"/>
      <c r="D115" s="45" t="n"/>
      <c r="E115" s="44" t="n"/>
      <c r="F115" s="23">
        <f>IF(B115="","",IFERROR(INDEX(Cat_Tipo,MATCH(B115,Lista_Categorias,0)),"Deseo"))</f>
        <v/>
      </c>
      <c r="G115" s="23">
        <f>IF(A115="","",WEEKNUM(A115,2))</f>
        <v/>
      </c>
      <c r="H115" s="49">
        <f>IF(A115="","",DATE(YEAR(A115),MONTH(A115),1))</f>
        <v/>
      </c>
    </row>
    <row r="116">
      <c r="A116" s="48" t="n"/>
      <c r="B116" s="44" t="n"/>
      <c r="C116" s="44" t="n"/>
      <c r="D116" s="45" t="n"/>
      <c r="E116" s="44" t="n"/>
      <c r="F116" s="23">
        <f>IF(B116="","",IFERROR(INDEX(Cat_Tipo,MATCH(B116,Lista_Categorias,0)),"Deseo"))</f>
        <v/>
      </c>
      <c r="G116" s="23">
        <f>IF(A116="","",WEEKNUM(A116,2))</f>
        <v/>
      </c>
      <c r="H116" s="49">
        <f>IF(A116="","",DATE(YEAR(A116),MONTH(A116),1))</f>
        <v/>
      </c>
    </row>
    <row r="117">
      <c r="A117" s="48" t="n"/>
      <c r="B117" s="44" t="n"/>
      <c r="C117" s="44" t="n"/>
      <c r="D117" s="45" t="n"/>
      <c r="E117" s="44" t="n"/>
      <c r="F117" s="23">
        <f>IF(B117="","",IFERROR(INDEX(Cat_Tipo,MATCH(B117,Lista_Categorias,0)),"Deseo"))</f>
        <v/>
      </c>
      <c r="G117" s="23">
        <f>IF(A117="","",WEEKNUM(A117,2))</f>
        <v/>
      </c>
      <c r="H117" s="49">
        <f>IF(A117="","",DATE(YEAR(A117),MONTH(A117),1))</f>
        <v/>
      </c>
    </row>
    <row r="118">
      <c r="A118" s="48" t="n"/>
      <c r="B118" s="44" t="n"/>
      <c r="C118" s="44" t="n"/>
      <c r="D118" s="45" t="n"/>
      <c r="E118" s="44" t="n"/>
      <c r="F118" s="23">
        <f>IF(B118="","",IFERROR(INDEX(Cat_Tipo,MATCH(B118,Lista_Categorias,0)),"Deseo"))</f>
        <v/>
      </c>
      <c r="G118" s="23">
        <f>IF(A118="","",WEEKNUM(A118,2))</f>
        <v/>
      </c>
      <c r="H118" s="49">
        <f>IF(A118="","",DATE(YEAR(A118),MONTH(A118),1))</f>
        <v/>
      </c>
    </row>
    <row r="119">
      <c r="A119" s="48" t="n"/>
      <c r="B119" s="44" t="n"/>
      <c r="C119" s="44" t="n"/>
      <c r="D119" s="45" t="n"/>
      <c r="E119" s="44" t="n"/>
      <c r="F119" s="23">
        <f>IF(B119="","",IFERROR(INDEX(Cat_Tipo,MATCH(B119,Lista_Categorias,0)),"Deseo"))</f>
        <v/>
      </c>
      <c r="G119" s="23">
        <f>IF(A119="","",WEEKNUM(A119,2))</f>
        <v/>
      </c>
      <c r="H119" s="49">
        <f>IF(A119="","",DATE(YEAR(A119),MONTH(A119),1))</f>
        <v/>
      </c>
    </row>
    <row r="120">
      <c r="A120" s="48" t="n"/>
      <c r="B120" s="44" t="n"/>
      <c r="C120" s="44" t="n"/>
      <c r="D120" s="45" t="n"/>
      <c r="E120" s="44" t="n"/>
      <c r="F120" s="23">
        <f>IF(B120="","",IFERROR(INDEX(Cat_Tipo,MATCH(B120,Lista_Categorias,0)),"Deseo"))</f>
        <v/>
      </c>
      <c r="G120" s="23">
        <f>IF(A120="","",WEEKNUM(A120,2))</f>
        <v/>
      </c>
      <c r="H120" s="49">
        <f>IF(A120="","",DATE(YEAR(A120),MONTH(A120),1))</f>
        <v/>
      </c>
    </row>
    <row r="121">
      <c r="A121" s="48" t="n"/>
      <c r="B121" s="44" t="n"/>
      <c r="C121" s="44" t="n"/>
      <c r="D121" s="45" t="n"/>
      <c r="E121" s="44" t="n"/>
      <c r="F121" s="23">
        <f>IF(B121="","",IFERROR(INDEX(Cat_Tipo,MATCH(B121,Lista_Categorias,0)),"Deseo"))</f>
        <v/>
      </c>
      <c r="G121" s="23">
        <f>IF(A121="","",WEEKNUM(A121,2))</f>
        <v/>
      </c>
      <c r="H121" s="49">
        <f>IF(A121="","",DATE(YEAR(A121),MONTH(A121),1))</f>
        <v/>
      </c>
    </row>
    <row r="122">
      <c r="A122" s="48" t="n"/>
      <c r="B122" s="44" t="n"/>
      <c r="C122" s="44" t="n"/>
      <c r="D122" s="45" t="n"/>
      <c r="E122" s="44" t="n"/>
      <c r="F122" s="23">
        <f>IF(B122="","",IFERROR(INDEX(Cat_Tipo,MATCH(B122,Lista_Categorias,0)),"Deseo"))</f>
        <v/>
      </c>
      <c r="G122" s="23">
        <f>IF(A122="","",WEEKNUM(A122,2))</f>
        <v/>
      </c>
      <c r="H122" s="49">
        <f>IF(A122="","",DATE(YEAR(A122),MONTH(A122),1))</f>
        <v/>
      </c>
    </row>
    <row r="123">
      <c r="A123" s="48" t="n"/>
      <c r="B123" s="44" t="n"/>
      <c r="C123" s="44" t="n"/>
      <c r="D123" s="45" t="n"/>
      <c r="E123" s="44" t="n"/>
      <c r="F123" s="23">
        <f>IF(B123="","",IFERROR(INDEX(Cat_Tipo,MATCH(B123,Lista_Categorias,0)),"Deseo"))</f>
        <v/>
      </c>
      <c r="G123" s="23">
        <f>IF(A123="","",WEEKNUM(A123,2))</f>
        <v/>
      </c>
      <c r="H123" s="49">
        <f>IF(A123="","",DATE(YEAR(A123),MONTH(A123),1))</f>
        <v/>
      </c>
    </row>
    <row r="124">
      <c r="A124" s="48" t="n"/>
      <c r="B124" s="44" t="n"/>
      <c r="C124" s="44" t="n"/>
      <c r="D124" s="45" t="n"/>
      <c r="E124" s="44" t="n"/>
      <c r="F124" s="23">
        <f>IF(B124="","",IFERROR(INDEX(Cat_Tipo,MATCH(B124,Lista_Categorias,0)),"Deseo"))</f>
        <v/>
      </c>
      <c r="G124" s="23">
        <f>IF(A124="","",WEEKNUM(A124,2))</f>
        <v/>
      </c>
      <c r="H124" s="49">
        <f>IF(A124="","",DATE(YEAR(A124),MONTH(A124),1))</f>
        <v/>
      </c>
    </row>
    <row r="125">
      <c r="A125" s="48" t="n"/>
      <c r="B125" s="44" t="n"/>
      <c r="C125" s="44" t="n"/>
      <c r="D125" s="45" t="n"/>
      <c r="E125" s="44" t="n"/>
      <c r="F125" s="23">
        <f>IF(B125="","",IFERROR(INDEX(Cat_Tipo,MATCH(B125,Lista_Categorias,0)),"Deseo"))</f>
        <v/>
      </c>
      <c r="G125" s="23">
        <f>IF(A125="","",WEEKNUM(A125,2))</f>
        <v/>
      </c>
      <c r="H125" s="49">
        <f>IF(A125="","",DATE(YEAR(A125),MONTH(A125),1))</f>
        <v/>
      </c>
    </row>
    <row r="126">
      <c r="A126" s="48" t="n"/>
      <c r="B126" s="44" t="n"/>
      <c r="C126" s="44" t="n"/>
      <c r="D126" s="45" t="n"/>
      <c r="E126" s="44" t="n"/>
      <c r="F126" s="23">
        <f>IF(B126="","",IFERROR(INDEX(Cat_Tipo,MATCH(B126,Lista_Categorias,0)),"Deseo"))</f>
        <v/>
      </c>
      <c r="G126" s="23">
        <f>IF(A126="","",WEEKNUM(A126,2))</f>
        <v/>
      </c>
      <c r="H126" s="49">
        <f>IF(A126="","",DATE(YEAR(A126),MONTH(A126),1))</f>
        <v/>
      </c>
    </row>
    <row r="127">
      <c r="A127" s="48" t="n"/>
      <c r="B127" s="44" t="n"/>
      <c r="C127" s="44" t="n"/>
      <c r="D127" s="45" t="n"/>
      <c r="E127" s="44" t="n"/>
      <c r="F127" s="23">
        <f>IF(B127="","",IFERROR(INDEX(Cat_Tipo,MATCH(B127,Lista_Categorias,0)),"Deseo"))</f>
        <v/>
      </c>
      <c r="G127" s="23">
        <f>IF(A127="","",WEEKNUM(A127,2))</f>
        <v/>
      </c>
      <c r="H127" s="49">
        <f>IF(A127="","",DATE(YEAR(A127),MONTH(A127),1))</f>
        <v/>
      </c>
    </row>
    <row r="128">
      <c r="A128" s="48" t="n"/>
      <c r="B128" s="44" t="n"/>
      <c r="C128" s="44" t="n"/>
      <c r="D128" s="45" t="n"/>
      <c r="E128" s="44" t="n"/>
      <c r="F128" s="23">
        <f>IF(B128="","",IFERROR(INDEX(Cat_Tipo,MATCH(B128,Lista_Categorias,0)),"Deseo"))</f>
        <v/>
      </c>
      <c r="G128" s="23">
        <f>IF(A128="","",WEEKNUM(A128,2))</f>
        <v/>
      </c>
      <c r="H128" s="49">
        <f>IF(A128="","",DATE(YEAR(A128),MONTH(A128),1))</f>
        <v/>
      </c>
    </row>
    <row r="129">
      <c r="A129" s="48" t="n"/>
      <c r="B129" s="44" t="n"/>
      <c r="C129" s="44" t="n"/>
      <c r="D129" s="45" t="n"/>
      <c r="E129" s="44" t="n"/>
      <c r="F129" s="23">
        <f>IF(B129="","",IFERROR(INDEX(Cat_Tipo,MATCH(B129,Lista_Categorias,0)),"Deseo"))</f>
        <v/>
      </c>
      <c r="G129" s="23">
        <f>IF(A129="","",WEEKNUM(A129,2))</f>
        <v/>
      </c>
      <c r="H129" s="49">
        <f>IF(A129="","",DATE(YEAR(A129),MONTH(A129),1))</f>
        <v/>
      </c>
    </row>
    <row r="130">
      <c r="A130" s="48" t="n"/>
      <c r="B130" s="44" t="n"/>
      <c r="C130" s="44" t="n"/>
      <c r="D130" s="45" t="n"/>
      <c r="E130" s="44" t="n"/>
      <c r="F130" s="23">
        <f>IF(B130="","",IFERROR(INDEX(Cat_Tipo,MATCH(B130,Lista_Categorias,0)),"Deseo"))</f>
        <v/>
      </c>
      <c r="G130" s="23">
        <f>IF(A130="","",WEEKNUM(A130,2))</f>
        <v/>
      </c>
      <c r="H130" s="49">
        <f>IF(A130="","",DATE(YEAR(A130),MONTH(A130),1))</f>
        <v/>
      </c>
    </row>
    <row r="131">
      <c r="A131" s="48" t="n"/>
      <c r="B131" s="44" t="n"/>
      <c r="C131" s="44" t="n"/>
      <c r="D131" s="45" t="n"/>
      <c r="E131" s="44" t="n"/>
      <c r="F131" s="23">
        <f>IF(B131="","",IFERROR(INDEX(Cat_Tipo,MATCH(B131,Lista_Categorias,0)),"Deseo"))</f>
        <v/>
      </c>
      <c r="G131" s="23">
        <f>IF(A131="","",WEEKNUM(A131,2))</f>
        <v/>
      </c>
      <c r="H131" s="49">
        <f>IF(A131="","",DATE(YEAR(A131),MONTH(A131),1))</f>
        <v/>
      </c>
    </row>
    <row r="132">
      <c r="A132" s="48" t="n"/>
      <c r="B132" s="44" t="n"/>
      <c r="C132" s="44" t="n"/>
      <c r="D132" s="45" t="n"/>
      <c r="E132" s="44" t="n"/>
      <c r="F132" s="23">
        <f>IF(B132="","",IFERROR(INDEX(Cat_Tipo,MATCH(B132,Lista_Categorias,0)),"Deseo"))</f>
        <v/>
      </c>
      <c r="G132" s="23">
        <f>IF(A132="","",WEEKNUM(A132,2))</f>
        <v/>
      </c>
      <c r="H132" s="49">
        <f>IF(A132="","",DATE(YEAR(A132),MONTH(A132),1))</f>
        <v/>
      </c>
    </row>
    <row r="133">
      <c r="A133" s="48" t="n"/>
      <c r="B133" s="44" t="n"/>
      <c r="C133" s="44" t="n"/>
      <c r="D133" s="45" t="n"/>
      <c r="E133" s="44" t="n"/>
      <c r="F133" s="23">
        <f>IF(B133="","",IFERROR(INDEX(Cat_Tipo,MATCH(B133,Lista_Categorias,0)),"Deseo"))</f>
        <v/>
      </c>
      <c r="G133" s="23">
        <f>IF(A133="","",WEEKNUM(A133,2))</f>
        <v/>
      </c>
      <c r="H133" s="49">
        <f>IF(A133="","",DATE(YEAR(A133),MONTH(A133),1))</f>
        <v/>
      </c>
    </row>
    <row r="134">
      <c r="A134" s="48" t="n"/>
      <c r="B134" s="44" t="n"/>
      <c r="C134" s="44" t="n"/>
      <c r="D134" s="45" t="n"/>
      <c r="E134" s="44" t="n"/>
      <c r="F134" s="23">
        <f>IF(B134="","",IFERROR(INDEX(Cat_Tipo,MATCH(B134,Lista_Categorias,0)),"Deseo"))</f>
        <v/>
      </c>
      <c r="G134" s="23">
        <f>IF(A134="","",WEEKNUM(A134,2))</f>
        <v/>
      </c>
      <c r="H134" s="49">
        <f>IF(A134="","",DATE(YEAR(A134),MONTH(A134),1))</f>
        <v/>
      </c>
    </row>
    <row r="135">
      <c r="A135" s="48" t="n"/>
      <c r="B135" s="44" t="n"/>
      <c r="C135" s="44" t="n"/>
      <c r="D135" s="45" t="n"/>
      <c r="E135" s="44" t="n"/>
      <c r="F135" s="23">
        <f>IF(B135="","",IFERROR(INDEX(Cat_Tipo,MATCH(B135,Lista_Categorias,0)),"Deseo"))</f>
        <v/>
      </c>
      <c r="G135" s="23">
        <f>IF(A135="","",WEEKNUM(A135,2))</f>
        <v/>
      </c>
      <c r="H135" s="49">
        <f>IF(A135="","",DATE(YEAR(A135),MONTH(A135),1))</f>
        <v/>
      </c>
    </row>
    <row r="136">
      <c r="A136" s="48" t="n"/>
      <c r="B136" s="44" t="n"/>
      <c r="C136" s="44" t="n"/>
      <c r="D136" s="45" t="n"/>
      <c r="E136" s="44" t="n"/>
      <c r="F136" s="23">
        <f>IF(B136="","",IFERROR(INDEX(Cat_Tipo,MATCH(B136,Lista_Categorias,0)),"Deseo"))</f>
        <v/>
      </c>
      <c r="G136" s="23">
        <f>IF(A136="","",WEEKNUM(A136,2))</f>
        <v/>
      </c>
      <c r="H136" s="49">
        <f>IF(A136="","",DATE(YEAR(A136),MONTH(A136),1))</f>
        <v/>
      </c>
    </row>
    <row r="137">
      <c r="A137" s="48" t="n"/>
      <c r="B137" s="44" t="n"/>
      <c r="C137" s="44" t="n"/>
      <c r="D137" s="45" t="n"/>
      <c r="E137" s="44" t="n"/>
      <c r="F137" s="23">
        <f>IF(B137="","",IFERROR(INDEX(Cat_Tipo,MATCH(B137,Lista_Categorias,0)),"Deseo"))</f>
        <v/>
      </c>
      <c r="G137" s="23">
        <f>IF(A137="","",WEEKNUM(A137,2))</f>
        <v/>
      </c>
      <c r="H137" s="49">
        <f>IF(A137="","",DATE(YEAR(A137),MONTH(A137),1))</f>
        <v/>
      </c>
    </row>
    <row r="138">
      <c r="A138" s="48" t="n"/>
      <c r="B138" s="44" t="n"/>
      <c r="C138" s="44" t="n"/>
      <c r="D138" s="45" t="n"/>
      <c r="E138" s="44" t="n"/>
      <c r="F138" s="23">
        <f>IF(B138="","",IFERROR(INDEX(Cat_Tipo,MATCH(B138,Lista_Categorias,0)),"Deseo"))</f>
        <v/>
      </c>
      <c r="G138" s="23">
        <f>IF(A138="","",WEEKNUM(A138,2))</f>
        <v/>
      </c>
      <c r="H138" s="49">
        <f>IF(A138="","",DATE(YEAR(A138),MONTH(A138),1))</f>
        <v/>
      </c>
    </row>
    <row r="139">
      <c r="A139" s="48" t="n"/>
      <c r="B139" s="44" t="n"/>
      <c r="C139" s="44" t="n"/>
      <c r="D139" s="45" t="n"/>
      <c r="E139" s="44" t="n"/>
      <c r="F139" s="23">
        <f>IF(B139="","",IFERROR(INDEX(Cat_Tipo,MATCH(B139,Lista_Categorias,0)),"Deseo"))</f>
        <v/>
      </c>
      <c r="G139" s="23">
        <f>IF(A139="","",WEEKNUM(A139,2))</f>
        <v/>
      </c>
      <c r="H139" s="49">
        <f>IF(A139="","",DATE(YEAR(A139),MONTH(A139),1))</f>
        <v/>
      </c>
    </row>
    <row r="140">
      <c r="A140" s="48" t="n"/>
      <c r="B140" s="44" t="n"/>
      <c r="C140" s="44" t="n"/>
      <c r="D140" s="45" t="n"/>
      <c r="E140" s="44" t="n"/>
      <c r="F140" s="23">
        <f>IF(B140="","",IFERROR(INDEX(Cat_Tipo,MATCH(B140,Lista_Categorias,0)),"Deseo"))</f>
        <v/>
      </c>
      <c r="G140" s="23">
        <f>IF(A140="","",WEEKNUM(A140,2))</f>
        <v/>
      </c>
      <c r="H140" s="49">
        <f>IF(A140="","",DATE(YEAR(A140),MONTH(A140),1))</f>
        <v/>
      </c>
    </row>
    <row r="141">
      <c r="A141" s="48" t="n"/>
      <c r="B141" s="44" t="n"/>
      <c r="C141" s="44" t="n"/>
      <c r="D141" s="45" t="n"/>
      <c r="E141" s="44" t="n"/>
      <c r="F141" s="23">
        <f>IF(B141="","",IFERROR(INDEX(Cat_Tipo,MATCH(B141,Lista_Categorias,0)),"Deseo"))</f>
        <v/>
      </c>
      <c r="G141" s="23">
        <f>IF(A141="","",WEEKNUM(A141,2))</f>
        <v/>
      </c>
      <c r="H141" s="49">
        <f>IF(A141="","",DATE(YEAR(A141),MONTH(A141),1))</f>
        <v/>
      </c>
    </row>
    <row r="142">
      <c r="A142" s="48" t="n"/>
      <c r="B142" s="44" t="n"/>
      <c r="C142" s="44" t="n"/>
      <c r="D142" s="45" t="n"/>
      <c r="E142" s="44" t="n"/>
      <c r="F142" s="23">
        <f>IF(B142="","",IFERROR(INDEX(Cat_Tipo,MATCH(B142,Lista_Categorias,0)),"Deseo"))</f>
        <v/>
      </c>
      <c r="G142" s="23">
        <f>IF(A142="","",WEEKNUM(A142,2))</f>
        <v/>
      </c>
      <c r="H142" s="49">
        <f>IF(A142="","",DATE(YEAR(A142),MONTH(A142),1))</f>
        <v/>
      </c>
    </row>
    <row r="143">
      <c r="A143" s="48" t="n"/>
      <c r="B143" s="44" t="n"/>
      <c r="C143" s="44" t="n"/>
      <c r="D143" s="45" t="n"/>
      <c r="E143" s="44" t="n"/>
      <c r="F143" s="23">
        <f>IF(B143="","",IFERROR(INDEX(Cat_Tipo,MATCH(B143,Lista_Categorias,0)),"Deseo"))</f>
        <v/>
      </c>
      <c r="G143" s="23">
        <f>IF(A143="","",WEEKNUM(A143,2))</f>
        <v/>
      </c>
      <c r="H143" s="49">
        <f>IF(A143="","",DATE(YEAR(A143),MONTH(A143),1))</f>
        <v/>
      </c>
    </row>
    <row r="144">
      <c r="A144" s="48" t="n"/>
      <c r="B144" s="44" t="n"/>
      <c r="C144" s="44" t="n"/>
      <c r="D144" s="45" t="n"/>
      <c r="E144" s="44" t="n"/>
      <c r="F144" s="23">
        <f>IF(B144="","",IFERROR(INDEX(Cat_Tipo,MATCH(B144,Lista_Categorias,0)),"Deseo"))</f>
        <v/>
      </c>
      <c r="G144" s="23">
        <f>IF(A144="","",WEEKNUM(A144,2))</f>
        <v/>
      </c>
      <c r="H144" s="49">
        <f>IF(A144="","",DATE(YEAR(A144),MONTH(A144),1))</f>
        <v/>
      </c>
    </row>
    <row r="145">
      <c r="A145" s="48" t="n"/>
      <c r="B145" s="44" t="n"/>
      <c r="C145" s="44" t="n"/>
      <c r="D145" s="45" t="n"/>
      <c r="E145" s="44" t="n"/>
      <c r="F145" s="23">
        <f>IF(B145="","",IFERROR(INDEX(Cat_Tipo,MATCH(B145,Lista_Categorias,0)),"Deseo"))</f>
        <v/>
      </c>
      <c r="G145" s="23">
        <f>IF(A145="","",WEEKNUM(A145,2))</f>
        <v/>
      </c>
      <c r="H145" s="49">
        <f>IF(A145="","",DATE(YEAR(A145),MONTH(A145),1))</f>
        <v/>
      </c>
    </row>
    <row r="146">
      <c r="A146" s="48" t="n"/>
      <c r="B146" s="44" t="n"/>
      <c r="C146" s="44" t="n"/>
      <c r="D146" s="45" t="n"/>
      <c r="E146" s="44" t="n"/>
      <c r="F146" s="23">
        <f>IF(B146="","",IFERROR(INDEX(Cat_Tipo,MATCH(B146,Lista_Categorias,0)),"Deseo"))</f>
        <v/>
      </c>
      <c r="G146" s="23">
        <f>IF(A146="","",WEEKNUM(A146,2))</f>
        <v/>
      </c>
      <c r="H146" s="49">
        <f>IF(A146="","",DATE(YEAR(A146),MONTH(A146),1))</f>
        <v/>
      </c>
    </row>
    <row r="147">
      <c r="A147" s="48" t="n"/>
      <c r="B147" s="44" t="n"/>
      <c r="C147" s="44" t="n"/>
      <c r="D147" s="45" t="n"/>
      <c r="E147" s="44" t="n"/>
      <c r="F147" s="23">
        <f>IF(B147="","",IFERROR(INDEX(Cat_Tipo,MATCH(B147,Lista_Categorias,0)),"Deseo"))</f>
        <v/>
      </c>
      <c r="G147" s="23">
        <f>IF(A147="","",WEEKNUM(A147,2))</f>
        <v/>
      </c>
      <c r="H147" s="49">
        <f>IF(A147="","",DATE(YEAR(A147),MONTH(A147),1))</f>
        <v/>
      </c>
    </row>
    <row r="148">
      <c r="A148" s="48" t="n"/>
      <c r="B148" s="44" t="n"/>
      <c r="C148" s="44" t="n"/>
      <c r="D148" s="45" t="n"/>
      <c r="E148" s="44" t="n"/>
      <c r="F148" s="23">
        <f>IF(B148="","",IFERROR(INDEX(Cat_Tipo,MATCH(B148,Lista_Categorias,0)),"Deseo"))</f>
        <v/>
      </c>
      <c r="G148" s="23">
        <f>IF(A148="","",WEEKNUM(A148,2))</f>
        <v/>
      </c>
      <c r="H148" s="49">
        <f>IF(A148="","",DATE(YEAR(A148),MONTH(A148),1))</f>
        <v/>
      </c>
    </row>
    <row r="149">
      <c r="A149" s="48" t="n"/>
      <c r="B149" s="44" t="n"/>
      <c r="C149" s="44" t="n"/>
      <c r="D149" s="45" t="n"/>
      <c r="E149" s="44" t="n"/>
      <c r="F149" s="23">
        <f>IF(B149="","",IFERROR(INDEX(Cat_Tipo,MATCH(B149,Lista_Categorias,0)),"Deseo"))</f>
        <v/>
      </c>
      <c r="G149" s="23">
        <f>IF(A149="","",WEEKNUM(A149,2))</f>
        <v/>
      </c>
      <c r="H149" s="49">
        <f>IF(A149="","",DATE(YEAR(A149),MONTH(A149),1))</f>
        <v/>
      </c>
    </row>
    <row r="150">
      <c r="A150" s="48" t="n"/>
      <c r="B150" s="44" t="n"/>
      <c r="C150" s="44" t="n"/>
      <c r="D150" s="45" t="n"/>
      <c r="E150" s="44" t="n"/>
      <c r="F150" s="23">
        <f>IF(B150="","",IFERROR(INDEX(Cat_Tipo,MATCH(B150,Lista_Categorias,0)),"Deseo"))</f>
        <v/>
      </c>
      <c r="G150" s="23">
        <f>IF(A150="","",WEEKNUM(A150,2))</f>
        <v/>
      </c>
      <c r="H150" s="49">
        <f>IF(A150="","",DATE(YEAR(A150),MONTH(A150),1))</f>
        <v/>
      </c>
    </row>
    <row r="151">
      <c r="A151" s="48" t="n"/>
      <c r="B151" s="44" t="n"/>
      <c r="C151" s="44" t="n"/>
      <c r="D151" s="45" t="n"/>
      <c r="E151" s="44" t="n"/>
      <c r="F151" s="23">
        <f>IF(B151="","",IFERROR(INDEX(Cat_Tipo,MATCH(B151,Lista_Categorias,0)),"Deseo"))</f>
        <v/>
      </c>
      <c r="G151" s="23">
        <f>IF(A151="","",WEEKNUM(A151,2))</f>
        <v/>
      </c>
      <c r="H151" s="49">
        <f>IF(A151="","",DATE(YEAR(A151),MONTH(A151),1))</f>
        <v/>
      </c>
    </row>
    <row r="152">
      <c r="A152" s="48" t="n"/>
      <c r="B152" s="44" t="n"/>
      <c r="C152" s="44" t="n"/>
      <c r="D152" s="45" t="n"/>
      <c r="E152" s="44" t="n"/>
      <c r="F152" s="23">
        <f>IF(B152="","",IFERROR(INDEX(Cat_Tipo,MATCH(B152,Lista_Categorias,0)),"Deseo"))</f>
        <v/>
      </c>
      <c r="G152" s="23">
        <f>IF(A152="","",WEEKNUM(A152,2))</f>
        <v/>
      </c>
      <c r="H152" s="49">
        <f>IF(A152="","",DATE(YEAR(A152),MONTH(A152),1))</f>
        <v/>
      </c>
    </row>
    <row r="153">
      <c r="A153" s="48" t="n"/>
      <c r="B153" s="44" t="n"/>
      <c r="C153" s="44" t="n"/>
      <c r="D153" s="45" t="n"/>
      <c r="E153" s="44" t="n"/>
      <c r="F153" s="23">
        <f>IF(B153="","",IFERROR(INDEX(Cat_Tipo,MATCH(B153,Lista_Categorias,0)),"Deseo"))</f>
        <v/>
      </c>
      <c r="G153" s="23">
        <f>IF(A153="","",WEEKNUM(A153,2))</f>
        <v/>
      </c>
      <c r="H153" s="49">
        <f>IF(A153="","",DATE(YEAR(A153),MONTH(A153),1))</f>
        <v/>
      </c>
    </row>
    <row r="154">
      <c r="A154" s="48" t="n"/>
      <c r="B154" s="44" t="n"/>
      <c r="C154" s="44" t="n"/>
      <c r="D154" s="45" t="n"/>
      <c r="E154" s="44" t="n"/>
      <c r="F154" s="23">
        <f>IF(B154="","",IFERROR(INDEX(Cat_Tipo,MATCH(B154,Lista_Categorias,0)),"Deseo"))</f>
        <v/>
      </c>
      <c r="G154" s="23">
        <f>IF(A154="","",WEEKNUM(A154,2))</f>
        <v/>
      </c>
      <c r="H154" s="49">
        <f>IF(A154="","",DATE(YEAR(A154),MONTH(A154),1))</f>
        <v/>
      </c>
    </row>
    <row r="155">
      <c r="A155" s="48" t="n"/>
      <c r="B155" s="44" t="n"/>
      <c r="C155" s="44" t="n"/>
      <c r="D155" s="45" t="n"/>
      <c r="E155" s="44" t="n"/>
      <c r="F155" s="23">
        <f>IF(B155="","",IFERROR(INDEX(Cat_Tipo,MATCH(B155,Lista_Categorias,0)),"Deseo"))</f>
        <v/>
      </c>
      <c r="G155" s="23">
        <f>IF(A155="","",WEEKNUM(A155,2))</f>
        <v/>
      </c>
      <c r="H155" s="49">
        <f>IF(A155="","",DATE(YEAR(A155),MONTH(A155),1))</f>
        <v/>
      </c>
    </row>
    <row r="156">
      <c r="A156" s="48" t="n"/>
      <c r="B156" s="44" t="n"/>
      <c r="C156" s="44" t="n"/>
      <c r="D156" s="45" t="n"/>
      <c r="E156" s="44" t="n"/>
      <c r="F156" s="23">
        <f>IF(B156="","",IFERROR(INDEX(Cat_Tipo,MATCH(B156,Lista_Categorias,0)),"Deseo"))</f>
        <v/>
      </c>
      <c r="G156" s="23">
        <f>IF(A156="","",WEEKNUM(A156,2))</f>
        <v/>
      </c>
      <c r="H156" s="49">
        <f>IF(A156="","",DATE(YEAR(A156),MONTH(A156),1))</f>
        <v/>
      </c>
    </row>
    <row r="157">
      <c r="A157" s="48" t="n"/>
      <c r="B157" s="44" t="n"/>
      <c r="C157" s="44" t="n"/>
      <c r="D157" s="45" t="n"/>
      <c r="E157" s="44" t="n"/>
      <c r="F157" s="23">
        <f>IF(B157="","",IFERROR(INDEX(Cat_Tipo,MATCH(B157,Lista_Categorias,0)),"Deseo"))</f>
        <v/>
      </c>
      <c r="G157" s="23">
        <f>IF(A157="","",WEEKNUM(A157,2))</f>
        <v/>
      </c>
      <c r="H157" s="49">
        <f>IF(A157="","",DATE(YEAR(A157),MONTH(A157),1))</f>
        <v/>
      </c>
    </row>
    <row r="158">
      <c r="A158" s="48" t="n"/>
      <c r="B158" s="44" t="n"/>
      <c r="C158" s="44" t="n"/>
      <c r="D158" s="45" t="n"/>
      <c r="E158" s="44" t="n"/>
      <c r="F158" s="23">
        <f>IF(B158="","",IFERROR(INDEX(Cat_Tipo,MATCH(B158,Lista_Categorias,0)),"Deseo"))</f>
        <v/>
      </c>
      <c r="G158" s="23">
        <f>IF(A158="","",WEEKNUM(A158,2))</f>
        <v/>
      </c>
      <c r="H158" s="49">
        <f>IF(A158="","",DATE(YEAR(A158),MONTH(A158),1))</f>
        <v/>
      </c>
    </row>
    <row r="159">
      <c r="A159" s="48" t="n"/>
      <c r="B159" s="44" t="n"/>
      <c r="C159" s="44" t="n"/>
      <c r="D159" s="45" t="n"/>
      <c r="E159" s="44" t="n"/>
      <c r="F159" s="23">
        <f>IF(B159="","",IFERROR(INDEX(Cat_Tipo,MATCH(B159,Lista_Categorias,0)),"Deseo"))</f>
        <v/>
      </c>
      <c r="G159" s="23">
        <f>IF(A159="","",WEEKNUM(A159,2))</f>
        <v/>
      </c>
      <c r="H159" s="49">
        <f>IF(A159="","",DATE(YEAR(A159),MONTH(A159),1))</f>
        <v/>
      </c>
    </row>
    <row r="160">
      <c r="A160" s="48" t="n"/>
      <c r="B160" s="44" t="n"/>
      <c r="C160" s="44" t="n"/>
      <c r="D160" s="45" t="n"/>
      <c r="E160" s="44" t="n"/>
      <c r="F160" s="23">
        <f>IF(B160="","",IFERROR(INDEX(Cat_Tipo,MATCH(B160,Lista_Categorias,0)),"Deseo"))</f>
        <v/>
      </c>
      <c r="G160" s="23">
        <f>IF(A160="","",WEEKNUM(A160,2))</f>
        <v/>
      </c>
      <c r="H160" s="49">
        <f>IF(A160="","",DATE(YEAR(A160),MONTH(A160),1))</f>
        <v/>
      </c>
    </row>
    <row r="161">
      <c r="A161" s="48" t="n"/>
      <c r="B161" s="44" t="n"/>
      <c r="C161" s="44" t="n"/>
      <c r="D161" s="45" t="n"/>
      <c r="E161" s="44" t="n"/>
      <c r="F161" s="23">
        <f>IF(B161="","",IFERROR(INDEX(Cat_Tipo,MATCH(B161,Lista_Categorias,0)),"Deseo"))</f>
        <v/>
      </c>
      <c r="G161" s="23">
        <f>IF(A161="","",WEEKNUM(A161,2))</f>
        <v/>
      </c>
      <c r="H161" s="49">
        <f>IF(A161="","",DATE(YEAR(A161),MONTH(A161),1))</f>
        <v/>
      </c>
    </row>
    <row r="162">
      <c r="A162" s="48" t="n"/>
      <c r="B162" s="44" t="n"/>
      <c r="C162" s="44" t="n"/>
      <c r="D162" s="45" t="n"/>
      <c r="E162" s="44" t="n"/>
      <c r="F162" s="23">
        <f>IF(B162="","",IFERROR(INDEX(Cat_Tipo,MATCH(B162,Lista_Categorias,0)),"Deseo"))</f>
        <v/>
      </c>
      <c r="G162" s="23">
        <f>IF(A162="","",WEEKNUM(A162,2))</f>
        <v/>
      </c>
      <c r="H162" s="49">
        <f>IF(A162="","",DATE(YEAR(A162),MONTH(A162),1))</f>
        <v/>
      </c>
    </row>
    <row r="163">
      <c r="A163" s="48" t="n"/>
      <c r="B163" s="44" t="n"/>
      <c r="C163" s="44" t="n"/>
      <c r="D163" s="45" t="n"/>
      <c r="E163" s="44" t="n"/>
      <c r="F163" s="23">
        <f>IF(B163="","",IFERROR(INDEX(Cat_Tipo,MATCH(B163,Lista_Categorias,0)),"Deseo"))</f>
        <v/>
      </c>
      <c r="G163" s="23">
        <f>IF(A163="","",WEEKNUM(A163,2))</f>
        <v/>
      </c>
      <c r="H163" s="49">
        <f>IF(A163="","",DATE(YEAR(A163),MONTH(A163),1))</f>
        <v/>
      </c>
    </row>
    <row r="164">
      <c r="A164" s="48" t="n"/>
      <c r="B164" s="44" t="n"/>
      <c r="C164" s="44" t="n"/>
      <c r="D164" s="45" t="n"/>
      <c r="E164" s="44" t="n"/>
      <c r="F164" s="23">
        <f>IF(B164="","",IFERROR(INDEX(Cat_Tipo,MATCH(B164,Lista_Categorias,0)),"Deseo"))</f>
        <v/>
      </c>
      <c r="G164" s="23">
        <f>IF(A164="","",WEEKNUM(A164,2))</f>
        <v/>
      </c>
      <c r="H164" s="49">
        <f>IF(A164="","",DATE(YEAR(A164),MONTH(A164),1))</f>
        <v/>
      </c>
    </row>
    <row r="165">
      <c r="A165" s="48" t="n"/>
      <c r="B165" s="44" t="n"/>
      <c r="C165" s="44" t="n"/>
      <c r="D165" s="45" t="n"/>
      <c r="E165" s="44" t="n"/>
      <c r="F165" s="23">
        <f>IF(B165="","",IFERROR(INDEX(Cat_Tipo,MATCH(B165,Lista_Categorias,0)),"Deseo"))</f>
        <v/>
      </c>
      <c r="G165" s="23">
        <f>IF(A165="","",WEEKNUM(A165,2))</f>
        <v/>
      </c>
      <c r="H165" s="49">
        <f>IF(A165="","",DATE(YEAR(A165),MONTH(A165),1))</f>
        <v/>
      </c>
    </row>
    <row r="166">
      <c r="A166" s="48" t="n"/>
      <c r="B166" s="44" t="n"/>
      <c r="C166" s="44" t="n"/>
      <c r="D166" s="45" t="n"/>
      <c r="E166" s="44" t="n"/>
      <c r="F166" s="23">
        <f>IF(B166="","",IFERROR(INDEX(Cat_Tipo,MATCH(B166,Lista_Categorias,0)),"Deseo"))</f>
        <v/>
      </c>
      <c r="G166" s="23">
        <f>IF(A166="","",WEEKNUM(A166,2))</f>
        <v/>
      </c>
      <c r="H166" s="49">
        <f>IF(A166="","",DATE(YEAR(A166),MONTH(A166),1))</f>
        <v/>
      </c>
    </row>
    <row r="167">
      <c r="A167" s="48" t="n"/>
      <c r="B167" s="44" t="n"/>
      <c r="C167" s="44" t="n"/>
      <c r="D167" s="45" t="n"/>
      <c r="E167" s="44" t="n"/>
      <c r="F167" s="23">
        <f>IF(B167="","",IFERROR(INDEX(Cat_Tipo,MATCH(B167,Lista_Categorias,0)),"Deseo"))</f>
        <v/>
      </c>
      <c r="G167" s="23">
        <f>IF(A167="","",WEEKNUM(A167,2))</f>
        <v/>
      </c>
      <c r="H167" s="49">
        <f>IF(A167="","",DATE(YEAR(A167),MONTH(A167),1))</f>
        <v/>
      </c>
    </row>
    <row r="168">
      <c r="A168" s="48" t="n"/>
      <c r="B168" s="44" t="n"/>
      <c r="C168" s="44" t="n"/>
      <c r="D168" s="45" t="n"/>
      <c r="E168" s="44" t="n"/>
      <c r="F168" s="23">
        <f>IF(B168="","",IFERROR(INDEX(Cat_Tipo,MATCH(B168,Lista_Categorias,0)),"Deseo"))</f>
        <v/>
      </c>
      <c r="G168" s="23">
        <f>IF(A168="","",WEEKNUM(A168,2))</f>
        <v/>
      </c>
      <c r="H168" s="49">
        <f>IF(A168="","",DATE(YEAR(A168),MONTH(A168),1))</f>
        <v/>
      </c>
    </row>
    <row r="169">
      <c r="A169" s="48" t="n"/>
      <c r="B169" s="44" t="n"/>
      <c r="C169" s="44" t="n"/>
      <c r="D169" s="45" t="n"/>
      <c r="E169" s="44" t="n"/>
      <c r="F169" s="23">
        <f>IF(B169="","",IFERROR(INDEX(Cat_Tipo,MATCH(B169,Lista_Categorias,0)),"Deseo"))</f>
        <v/>
      </c>
      <c r="G169" s="23">
        <f>IF(A169="","",WEEKNUM(A169,2))</f>
        <v/>
      </c>
      <c r="H169" s="49">
        <f>IF(A169="","",DATE(YEAR(A169),MONTH(A169),1))</f>
        <v/>
      </c>
    </row>
    <row r="170">
      <c r="A170" s="48" t="n"/>
      <c r="B170" s="44" t="n"/>
      <c r="C170" s="44" t="n"/>
      <c r="D170" s="45" t="n"/>
      <c r="E170" s="44" t="n"/>
      <c r="F170" s="23">
        <f>IF(B170="","",IFERROR(INDEX(Cat_Tipo,MATCH(B170,Lista_Categorias,0)),"Deseo"))</f>
        <v/>
      </c>
      <c r="G170" s="23">
        <f>IF(A170="","",WEEKNUM(A170,2))</f>
        <v/>
      </c>
      <c r="H170" s="49">
        <f>IF(A170="","",DATE(YEAR(A170),MONTH(A170),1))</f>
        <v/>
      </c>
    </row>
    <row r="171">
      <c r="A171" s="48" t="n"/>
      <c r="B171" s="44" t="n"/>
      <c r="C171" s="44" t="n"/>
      <c r="D171" s="45" t="n"/>
      <c r="E171" s="44" t="n"/>
      <c r="F171" s="23">
        <f>IF(B171="","",IFERROR(INDEX(Cat_Tipo,MATCH(B171,Lista_Categorias,0)),"Deseo"))</f>
        <v/>
      </c>
      <c r="G171" s="23">
        <f>IF(A171="","",WEEKNUM(A171,2))</f>
        <v/>
      </c>
      <c r="H171" s="49">
        <f>IF(A171="","",DATE(YEAR(A171),MONTH(A171),1))</f>
        <v/>
      </c>
    </row>
    <row r="172">
      <c r="A172" s="48" t="n"/>
      <c r="B172" s="44" t="n"/>
      <c r="C172" s="44" t="n"/>
      <c r="D172" s="45" t="n"/>
      <c r="E172" s="44" t="n"/>
      <c r="F172" s="23">
        <f>IF(B172="","",IFERROR(INDEX(Cat_Tipo,MATCH(B172,Lista_Categorias,0)),"Deseo"))</f>
        <v/>
      </c>
      <c r="G172" s="23">
        <f>IF(A172="","",WEEKNUM(A172,2))</f>
        <v/>
      </c>
      <c r="H172" s="49">
        <f>IF(A172="","",DATE(YEAR(A172),MONTH(A172),1))</f>
        <v/>
      </c>
    </row>
    <row r="173">
      <c r="A173" s="48" t="n"/>
      <c r="B173" s="44" t="n"/>
      <c r="C173" s="44" t="n"/>
      <c r="D173" s="45" t="n"/>
      <c r="E173" s="44" t="n"/>
      <c r="F173" s="23">
        <f>IF(B173="","",IFERROR(INDEX(Cat_Tipo,MATCH(B173,Lista_Categorias,0)),"Deseo"))</f>
        <v/>
      </c>
      <c r="G173" s="23">
        <f>IF(A173="","",WEEKNUM(A173,2))</f>
        <v/>
      </c>
      <c r="H173" s="49">
        <f>IF(A173="","",DATE(YEAR(A173),MONTH(A173),1))</f>
        <v/>
      </c>
    </row>
    <row r="174">
      <c r="A174" s="48" t="n"/>
      <c r="B174" s="44" t="n"/>
      <c r="C174" s="44" t="n"/>
      <c r="D174" s="45" t="n"/>
      <c r="E174" s="44" t="n"/>
      <c r="F174" s="23">
        <f>IF(B174="","",IFERROR(INDEX(Cat_Tipo,MATCH(B174,Lista_Categorias,0)),"Deseo"))</f>
        <v/>
      </c>
      <c r="G174" s="23">
        <f>IF(A174="","",WEEKNUM(A174,2))</f>
        <v/>
      </c>
      <c r="H174" s="49">
        <f>IF(A174="","",DATE(YEAR(A174),MONTH(A174),1))</f>
        <v/>
      </c>
    </row>
    <row r="175">
      <c r="A175" s="48" t="n"/>
      <c r="B175" s="44" t="n"/>
      <c r="C175" s="44" t="n"/>
      <c r="D175" s="45" t="n"/>
      <c r="E175" s="44" t="n"/>
      <c r="F175" s="23">
        <f>IF(B175="","",IFERROR(INDEX(Cat_Tipo,MATCH(B175,Lista_Categorias,0)),"Deseo"))</f>
        <v/>
      </c>
      <c r="G175" s="23">
        <f>IF(A175="","",WEEKNUM(A175,2))</f>
        <v/>
      </c>
      <c r="H175" s="49">
        <f>IF(A175="","",DATE(YEAR(A175),MONTH(A175),1))</f>
        <v/>
      </c>
    </row>
    <row r="176">
      <c r="A176" s="48" t="n"/>
      <c r="B176" s="44" t="n"/>
      <c r="C176" s="44" t="n"/>
      <c r="D176" s="45" t="n"/>
      <c r="E176" s="44" t="n"/>
      <c r="F176" s="23">
        <f>IF(B176="","",IFERROR(INDEX(Cat_Tipo,MATCH(B176,Lista_Categorias,0)),"Deseo"))</f>
        <v/>
      </c>
      <c r="G176" s="23">
        <f>IF(A176="","",WEEKNUM(A176,2))</f>
        <v/>
      </c>
      <c r="H176" s="49">
        <f>IF(A176="","",DATE(YEAR(A176),MONTH(A176),1))</f>
        <v/>
      </c>
    </row>
    <row r="177">
      <c r="A177" s="48" t="n"/>
      <c r="B177" s="44" t="n"/>
      <c r="C177" s="44" t="n"/>
      <c r="D177" s="45" t="n"/>
      <c r="E177" s="44" t="n"/>
      <c r="F177" s="23">
        <f>IF(B177="","",IFERROR(INDEX(Cat_Tipo,MATCH(B177,Lista_Categorias,0)),"Deseo"))</f>
        <v/>
      </c>
      <c r="G177" s="23">
        <f>IF(A177="","",WEEKNUM(A177,2))</f>
        <v/>
      </c>
      <c r="H177" s="49">
        <f>IF(A177="","",DATE(YEAR(A177),MONTH(A177),1))</f>
        <v/>
      </c>
    </row>
    <row r="178">
      <c r="A178" s="48" t="n"/>
      <c r="B178" s="44" t="n"/>
      <c r="C178" s="44" t="n"/>
      <c r="D178" s="45" t="n"/>
      <c r="E178" s="44" t="n"/>
      <c r="F178" s="23">
        <f>IF(B178="","",IFERROR(INDEX(Cat_Tipo,MATCH(B178,Lista_Categorias,0)),"Deseo"))</f>
        <v/>
      </c>
      <c r="G178" s="23">
        <f>IF(A178="","",WEEKNUM(A178,2))</f>
        <v/>
      </c>
      <c r="H178" s="49">
        <f>IF(A178="","",DATE(YEAR(A178),MONTH(A178),1))</f>
        <v/>
      </c>
    </row>
    <row r="179">
      <c r="A179" s="48" t="n"/>
      <c r="B179" s="44" t="n"/>
      <c r="C179" s="44" t="n"/>
      <c r="D179" s="45" t="n"/>
      <c r="E179" s="44" t="n"/>
      <c r="F179" s="23">
        <f>IF(B179="","",IFERROR(INDEX(Cat_Tipo,MATCH(B179,Lista_Categorias,0)),"Deseo"))</f>
        <v/>
      </c>
      <c r="G179" s="23">
        <f>IF(A179="","",WEEKNUM(A179,2))</f>
        <v/>
      </c>
      <c r="H179" s="49">
        <f>IF(A179="","",DATE(YEAR(A179),MONTH(A179),1))</f>
        <v/>
      </c>
    </row>
    <row r="180">
      <c r="A180" s="48" t="n"/>
      <c r="B180" s="44" t="n"/>
      <c r="C180" s="44" t="n"/>
      <c r="D180" s="45" t="n"/>
      <c r="E180" s="44" t="n"/>
      <c r="F180" s="23">
        <f>IF(B180="","",IFERROR(INDEX(Cat_Tipo,MATCH(B180,Lista_Categorias,0)),"Deseo"))</f>
        <v/>
      </c>
      <c r="G180" s="23">
        <f>IF(A180="","",WEEKNUM(A180,2))</f>
        <v/>
      </c>
      <c r="H180" s="49">
        <f>IF(A180="","",DATE(YEAR(A180),MONTH(A180),1))</f>
        <v/>
      </c>
    </row>
    <row r="181">
      <c r="A181" s="48" t="n"/>
      <c r="B181" s="44" t="n"/>
      <c r="C181" s="44" t="n"/>
      <c r="D181" s="45" t="n"/>
      <c r="E181" s="44" t="n"/>
      <c r="F181" s="23">
        <f>IF(B181="","",IFERROR(INDEX(Cat_Tipo,MATCH(B181,Lista_Categorias,0)),"Deseo"))</f>
        <v/>
      </c>
      <c r="G181" s="23">
        <f>IF(A181="","",WEEKNUM(A181,2))</f>
        <v/>
      </c>
      <c r="H181" s="49">
        <f>IF(A181="","",DATE(YEAR(A181),MONTH(A181),1))</f>
        <v/>
      </c>
    </row>
    <row r="182">
      <c r="A182" s="48" t="n"/>
      <c r="B182" s="44" t="n"/>
      <c r="C182" s="44" t="n"/>
      <c r="D182" s="45" t="n"/>
      <c r="E182" s="44" t="n"/>
      <c r="F182" s="23">
        <f>IF(B182="","",IFERROR(INDEX(Cat_Tipo,MATCH(B182,Lista_Categorias,0)),"Deseo"))</f>
        <v/>
      </c>
      <c r="G182" s="23">
        <f>IF(A182="","",WEEKNUM(A182,2))</f>
        <v/>
      </c>
      <c r="H182" s="49">
        <f>IF(A182="","",DATE(YEAR(A182),MONTH(A182),1))</f>
        <v/>
      </c>
    </row>
    <row r="183">
      <c r="A183" s="48" t="n"/>
      <c r="B183" s="44" t="n"/>
      <c r="C183" s="44" t="n"/>
      <c r="D183" s="45" t="n"/>
      <c r="E183" s="44" t="n"/>
      <c r="F183" s="23">
        <f>IF(B183="","",IFERROR(INDEX(Cat_Tipo,MATCH(B183,Lista_Categorias,0)),"Deseo"))</f>
        <v/>
      </c>
      <c r="G183" s="23">
        <f>IF(A183="","",WEEKNUM(A183,2))</f>
        <v/>
      </c>
      <c r="H183" s="49">
        <f>IF(A183="","",DATE(YEAR(A183),MONTH(A183),1))</f>
        <v/>
      </c>
    </row>
    <row r="184">
      <c r="A184" s="48" t="n"/>
      <c r="B184" s="44" t="n"/>
      <c r="C184" s="44" t="n"/>
      <c r="D184" s="45" t="n"/>
      <c r="E184" s="44" t="n"/>
      <c r="F184" s="23">
        <f>IF(B184="","",IFERROR(INDEX(Cat_Tipo,MATCH(B184,Lista_Categorias,0)),"Deseo"))</f>
        <v/>
      </c>
      <c r="G184" s="23">
        <f>IF(A184="","",WEEKNUM(A184,2))</f>
        <v/>
      </c>
      <c r="H184" s="49">
        <f>IF(A184="","",DATE(YEAR(A184),MONTH(A184),1))</f>
        <v/>
      </c>
    </row>
    <row r="185">
      <c r="A185" s="48" t="n"/>
      <c r="B185" s="44" t="n"/>
      <c r="C185" s="44" t="n"/>
      <c r="D185" s="45" t="n"/>
      <c r="E185" s="44" t="n"/>
      <c r="F185" s="23">
        <f>IF(B185="","",IFERROR(INDEX(Cat_Tipo,MATCH(B185,Lista_Categorias,0)),"Deseo"))</f>
        <v/>
      </c>
      <c r="G185" s="23">
        <f>IF(A185="","",WEEKNUM(A185,2))</f>
        <v/>
      </c>
      <c r="H185" s="49">
        <f>IF(A185="","",DATE(YEAR(A185),MONTH(A185),1))</f>
        <v/>
      </c>
    </row>
    <row r="186">
      <c r="A186" s="48" t="n"/>
      <c r="B186" s="44" t="n"/>
      <c r="C186" s="44" t="n"/>
      <c r="D186" s="45" t="n"/>
      <c r="E186" s="44" t="n"/>
      <c r="F186" s="23">
        <f>IF(B186="","",IFERROR(INDEX(Cat_Tipo,MATCH(B186,Lista_Categorias,0)),"Deseo"))</f>
        <v/>
      </c>
      <c r="G186" s="23">
        <f>IF(A186="","",WEEKNUM(A186,2))</f>
        <v/>
      </c>
      <c r="H186" s="49">
        <f>IF(A186="","",DATE(YEAR(A186),MONTH(A186),1))</f>
        <v/>
      </c>
    </row>
    <row r="187">
      <c r="A187" s="48" t="n"/>
      <c r="B187" s="44" t="n"/>
      <c r="C187" s="44" t="n"/>
      <c r="D187" s="45" t="n"/>
      <c r="E187" s="44" t="n"/>
      <c r="F187" s="23">
        <f>IF(B187="","",IFERROR(INDEX(Cat_Tipo,MATCH(B187,Lista_Categorias,0)),"Deseo"))</f>
        <v/>
      </c>
      <c r="G187" s="23">
        <f>IF(A187="","",WEEKNUM(A187,2))</f>
        <v/>
      </c>
      <c r="H187" s="49">
        <f>IF(A187="","",DATE(YEAR(A187),MONTH(A187),1))</f>
        <v/>
      </c>
    </row>
    <row r="188">
      <c r="A188" s="48" t="n"/>
      <c r="B188" s="44" t="n"/>
      <c r="C188" s="44" t="n"/>
      <c r="D188" s="45" t="n"/>
      <c r="E188" s="44" t="n"/>
      <c r="F188" s="23">
        <f>IF(B188="","",IFERROR(INDEX(Cat_Tipo,MATCH(B188,Lista_Categorias,0)),"Deseo"))</f>
        <v/>
      </c>
      <c r="G188" s="23">
        <f>IF(A188="","",WEEKNUM(A188,2))</f>
        <v/>
      </c>
      <c r="H188" s="49">
        <f>IF(A188="","",DATE(YEAR(A188),MONTH(A188),1))</f>
        <v/>
      </c>
    </row>
    <row r="189">
      <c r="A189" s="48" t="n"/>
      <c r="B189" s="44" t="n"/>
      <c r="C189" s="44" t="n"/>
      <c r="D189" s="45" t="n"/>
      <c r="E189" s="44" t="n"/>
      <c r="F189" s="23">
        <f>IF(B189="","",IFERROR(INDEX(Cat_Tipo,MATCH(B189,Lista_Categorias,0)),"Deseo"))</f>
        <v/>
      </c>
      <c r="G189" s="23">
        <f>IF(A189="","",WEEKNUM(A189,2))</f>
        <v/>
      </c>
      <c r="H189" s="49">
        <f>IF(A189="","",DATE(YEAR(A189),MONTH(A189),1))</f>
        <v/>
      </c>
    </row>
    <row r="190">
      <c r="A190" s="48" t="n"/>
      <c r="B190" s="44" t="n"/>
      <c r="C190" s="44" t="n"/>
      <c r="D190" s="45" t="n"/>
      <c r="E190" s="44" t="n"/>
      <c r="F190" s="23">
        <f>IF(B190="","",IFERROR(INDEX(Cat_Tipo,MATCH(B190,Lista_Categorias,0)),"Deseo"))</f>
        <v/>
      </c>
      <c r="G190" s="23">
        <f>IF(A190="","",WEEKNUM(A190,2))</f>
        <v/>
      </c>
      <c r="H190" s="49">
        <f>IF(A190="","",DATE(YEAR(A190),MONTH(A190),1))</f>
        <v/>
      </c>
    </row>
    <row r="191">
      <c r="A191" s="48" t="n"/>
      <c r="B191" s="44" t="n"/>
      <c r="C191" s="44" t="n"/>
      <c r="D191" s="45" t="n"/>
      <c r="E191" s="44" t="n"/>
      <c r="F191" s="23">
        <f>IF(B191="","",IFERROR(INDEX(Cat_Tipo,MATCH(B191,Lista_Categorias,0)),"Deseo"))</f>
        <v/>
      </c>
      <c r="G191" s="23">
        <f>IF(A191="","",WEEKNUM(A191,2))</f>
        <v/>
      </c>
      <c r="H191" s="49">
        <f>IF(A191="","",DATE(YEAR(A191),MONTH(A191),1))</f>
        <v/>
      </c>
    </row>
    <row r="192">
      <c r="A192" s="48" t="n"/>
      <c r="B192" s="44" t="n"/>
      <c r="C192" s="44" t="n"/>
      <c r="D192" s="45" t="n"/>
      <c r="E192" s="44" t="n"/>
      <c r="F192" s="23">
        <f>IF(B192="","",IFERROR(INDEX(Cat_Tipo,MATCH(B192,Lista_Categorias,0)),"Deseo"))</f>
        <v/>
      </c>
      <c r="G192" s="23">
        <f>IF(A192="","",WEEKNUM(A192,2))</f>
        <v/>
      </c>
      <c r="H192" s="49">
        <f>IF(A192="","",DATE(YEAR(A192),MONTH(A192),1))</f>
        <v/>
      </c>
    </row>
    <row r="193">
      <c r="A193" s="48" t="n"/>
      <c r="B193" s="44" t="n"/>
      <c r="C193" s="44" t="n"/>
      <c r="D193" s="45" t="n"/>
      <c r="E193" s="44" t="n"/>
      <c r="F193" s="23">
        <f>IF(B193="","",IFERROR(INDEX(Cat_Tipo,MATCH(B193,Lista_Categorias,0)),"Deseo"))</f>
        <v/>
      </c>
      <c r="G193" s="23">
        <f>IF(A193="","",WEEKNUM(A193,2))</f>
        <v/>
      </c>
      <c r="H193" s="49">
        <f>IF(A193="","",DATE(YEAR(A193),MONTH(A193),1))</f>
        <v/>
      </c>
    </row>
    <row r="194">
      <c r="A194" s="48" t="n"/>
      <c r="B194" s="44" t="n"/>
      <c r="C194" s="44" t="n"/>
      <c r="D194" s="45" t="n"/>
      <c r="E194" s="44" t="n"/>
      <c r="F194" s="23">
        <f>IF(B194="","",IFERROR(INDEX(Cat_Tipo,MATCH(B194,Lista_Categorias,0)),"Deseo"))</f>
        <v/>
      </c>
      <c r="G194" s="23">
        <f>IF(A194="","",WEEKNUM(A194,2))</f>
        <v/>
      </c>
      <c r="H194" s="49">
        <f>IF(A194="","",DATE(YEAR(A194),MONTH(A194),1))</f>
        <v/>
      </c>
    </row>
    <row r="195">
      <c r="A195" s="48" t="n"/>
      <c r="B195" s="44" t="n"/>
      <c r="C195" s="44" t="n"/>
      <c r="D195" s="45" t="n"/>
      <c r="E195" s="44" t="n"/>
      <c r="F195" s="23">
        <f>IF(B195="","",IFERROR(INDEX(Cat_Tipo,MATCH(B195,Lista_Categorias,0)),"Deseo"))</f>
        <v/>
      </c>
      <c r="G195" s="23">
        <f>IF(A195="","",WEEKNUM(A195,2))</f>
        <v/>
      </c>
      <c r="H195" s="49">
        <f>IF(A195="","",DATE(YEAR(A195),MONTH(A195),1))</f>
        <v/>
      </c>
    </row>
    <row r="196">
      <c r="A196" s="48" t="n"/>
      <c r="B196" s="44" t="n"/>
      <c r="C196" s="44" t="n"/>
      <c r="D196" s="45" t="n"/>
      <c r="E196" s="44" t="n"/>
      <c r="F196" s="23">
        <f>IF(B196="","",IFERROR(INDEX(Cat_Tipo,MATCH(B196,Lista_Categorias,0)),"Deseo"))</f>
        <v/>
      </c>
      <c r="G196" s="23">
        <f>IF(A196="","",WEEKNUM(A196,2))</f>
        <v/>
      </c>
      <c r="H196" s="49">
        <f>IF(A196="","",DATE(YEAR(A196),MONTH(A196),1))</f>
        <v/>
      </c>
    </row>
    <row r="197">
      <c r="A197" s="48" t="n"/>
      <c r="B197" s="44" t="n"/>
      <c r="C197" s="44" t="n"/>
      <c r="D197" s="45" t="n"/>
      <c r="E197" s="44" t="n"/>
      <c r="F197" s="23">
        <f>IF(B197="","",IFERROR(INDEX(Cat_Tipo,MATCH(B197,Lista_Categorias,0)),"Deseo"))</f>
        <v/>
      </c>
      <c r="G197" s="23">
        <f>IF(A197="","",WEEKNUM(A197,2))</f>
        <v/>
      </c>
      <c r="H197" s="49">
        <f>IF(A197="","",DATE(YEAR(A197),MONTH(A197),1))</f>
        <v/>
      </c>
    </row>
    <row r="198">
      <c r="A198" s="48" t="n"/>
      <c r="B198" s="44" t="n"/>
      <c r="C198" s="44" t="n"/>
      <c r="D198" s="45" t="n"/>
      <c r="E198" s="44" t="n"/>
      <c r="F198" s="23">
        <f>IF(B198="","",IFERROR(INDEX(Cat_Tipo,MATCH(B198,Lista_Categorias,0)),"Deseo"))</f>
        <v/>
      </c>
      <c r="G198" s="23">
        <f>IF(A198="","",WEEKNUM(A198,2))</f>
        <v/>
      </c>
      <c r="H198" s="49">
        <f>IF(A198="","",DATE(YEAR(A198),MONTH(A198),1))</f>
        <v/>
      </c>
    </row>
    <row r="199">
      <c r="A199" s="48" t="n"/>
      <c r="B199" s="44" t="n"/>
      <c r="C199" s="44" t="n"/>
      <c r="D199" s="45" t="n"/>
      <c r="E199" s="44" t="n"/>
      <c r="F199" s="23">
        <f>IF(B199="","",IFERROR(INDEX(Cat_Tipo,MATCH(B199,Lista_Categorias,0)),"Deseo"))</f>
        <v/>
      </c>
      <c r="G199" s="23">
        <f>IF(A199="","",WEEKNUM(A199,2))</f>
        <v/>
      </c>
      <c r="H199" s="49">
        <f>IF(A199="","",DATE(YEAR(A199),MONTH(A199),1))</f>
        <v/>
      </c>
    </row>
    <row r="200">
      <c r="A200" s="48" t="n"/>
      <c r="B200" s="44" t="n"/>
      <c r="C200" s="44" t="n"/>
      <c r="D200" s="45" t="n"/>
      <c r="E200" s="44" t="n"/>
      <c r="F200" s="23">
        <f>IF(B200="","",IFERROR(INDEX(Cat_Tipo,MATCH(B200,Lista_Categorias,0)),"Deseo"))</f>
        <v/>
      </c>
      <c r="G200" s="23">
        <f>IF(A200="","",WEEKNUM(A200,2))</f>
        <v/>
      </c>
      <c r="H200" s="49">
        <f>IF(A200="","",DATE(YEAR(A200),MONTH(A200),1))</f>
        <v/>
      </c>
    </row>
    <row r="201">
      <c r="A201" s="48" t="n"/>
      <c r="B201" s="44" t="n"/>
      <c r="C201" s="44" t="n"/>
      <c r="D201" s="45" t="n"/>
      <c r="E201" s="44" t="n"/>
      <c r="F201" s="23">
        <f>IF(B201="","",IFERROR(INDEX(Cat_Tipo,MATCH(B201,Lista_Categorias,0)),"Deseo"))</f>
        <v/>
      </c>
      <c r="G201" s="23">
        <f>IF(A201="","",WEEKNUM(A201,2))</f>
        <v/>
      </c>
      <c r="H201" s="49">
        <f>IF(A201="","",DATE(YEAR(A201),MONTH(A201),1))</f>
        <v/>
      </c>
    </row>
    <row r="202">
      <c r="A202" s="48" t="n"/>
      <c r="B202" s="44" t="n"/>
      <c r="C202" s="44" t="n"/>
      <c r="D202" s="45" t="n"/>
      <c r="E202" s="44" t="n"/>
      <c r="F202" s="23">
        <f>IF(B202="","",IFERROR(INDEX(Cat_Tipo,MATCH(B202,Lista_Categorias,0)),"Deseo"))</f>
        <v/>
      </c>
      <c r="G202" s="23">
        <f>IF(A202="","",WEEKNUM(A202,2))</f>
        <v/>
      </c>
      <c r="H202" s="49">
        <f>IF(A202="","",DATE(YEAR(A202),MONTH(A202),1))</f>
        <v/>
      </c>
    </row>
    <row r="203">
      <c r="A203" s="48" t="n"/>
      <c r="B203" s="44" t="n"/>
      <c r="C203" s="44" t="n"/>
      <c r="D203" s="45" t="n"/>
      <c r="E203" s="44" t="n"/>
      <c r="F203" s="23">
        <f>IF(B203="","",IFERROR(INDEX(Cat_Tipo,MATCH(B203,Lista_Categorias,0)),"Deseo"))</f>
        <v/>
      </c>
      <c r="G203" s="23">
        <f>IF(A203="","",WEEKNUM(A203,2))</f>
        <v/>
      </c>
      <c r="H203" s="49">
        <f>IF(A203="","",DATE(YEAR(A203),MONTH(A203),1))</f>
        <v/>
      </c>
    </row>
    <row r="204">
      <c r="A204" s="48" t="n"/>
      <c r="B204" s="44" t="n"/>
      <c r="C204" s="44" t="n"/>
      <c r="D204" s="45" t="n"/>
      <c r="E204" s="44" t="n"/>
      <c r="F204" s="23">
        <f>IF(B204="","",IFERROR(INDEX(Cat_Tipo,MATCH(B204,Lista_Categorias,0)),"Deseo"))</f>
        <v/>
      </c>
      <c r="G204" s="23">
        <f>IF(A204="","",WEEKNUM(A204,2))</f>
        <v/>
      </c>
      <c r="H204" s="49">
        <f>IF(A204="","",DATE(YEAR(A204),MONTH(A204),1))</f>
        <v/>
      </c>
    </row>
    <row r="205">
      <c r="A205" s="48" t="n"/>
      <c r="B205" s="44" t="n"/>
      <c r="C205" s="44" t="n"/>
      <c r="D205" s="45" t="n"/>
      <c r="E205" s="44" t="n"/>
      <c r="F205" s="23">
        <f>IF(B205="","",IFERROR(INDEX(Cat_Tipo,MATCH(B205,Lista_Categorias,0)),"Deseo"))</f>
        <v/>
      </c>
      <c r="G205" s="23">
        <f>IF(A205="","",WEEKNUM(A205,2))</f>
        <v/>
      </c>
      <c r="H205" s="49">
        <f>IF(A205="","",DATE(YEAR(A205),MONTH(A205),1))</f>
        <v/>
      </c>
    </row>
    <row r="206">
      <c r="A206" s="48" t="n"/>
      <c r="B206" s="44" t="n"/>
      <c r="C206" s="44" t="n"/>
      <c r="D206" s="45" t="n"/>
      <c r="E206" s="44" t="n"/>
      <c r="F206" s="23">
        <f>IF(B206="","",IFERROR(INDEX(Cat_Tipo,MATCH(B206,Lista_Categorias,0)),"Deseo"))</f>
        <v/>
      </c>
      <c r="G206" s="23">
        <f>IF(A206="","",WEEKNUM(A206,2))</f>
        <v/>
      </c>
      <c r="H206" s="49">
        <f>IF(A206="","",DATE(YEAR(A206),MONTH(A206),1))</f>
        <v/>
      </c>
    </row>
    <row r="207">
      <c r="A207" s="48" t="n"/>
      <c r="B207" s="44" t="n"/>
      <c r="C207" s="44" t="n"/>
      <c r="D207" s="45" t="n"/>
      <c r="E207" s="44" t="n"/>
      <c r="F207" s="23">
        <f>IF(B207="","",IFERROR(INDEX(Cat_Tipo,MATCH(B207,Lista_Categorias,0)),"Deseo"))</f>
        <v/>
      </c>
      <c r="G207" s="23">
        <f>IF(A207="","",WEEKNUM(A207,2))</f>
        <v/>
      </c>
      <c r="H207" s="49">
        <f>IF(A207="","",DATE(YEAR(A207),MONTH(A207),1))</f>
        <v/>
      </c>
    </row>
    <row r="208">
      <c r="A208" s="48" t="n"/>
      <c r="B208" s="44" t="n"/>
      <c r="C208" s="44" t="n"/>
      <c r="D208" s="45" t="n"/>
      <c r="E208" s="44" t="n"/>
      <c r="F208" s="23">
        <f>IF(B208="","",IFERROR(INDEX(Cat_Tipo,MATCH(B208,Lista_Categorias,0)),"Deseo"))</f>
        <v/>
      </c>
      <c r="G208" s="23">
        <f>IF(A208="","",WEEKNUM(A208,2))</f>
        <v/>
      </c>
      <c r="H208" s="49">
        <f>IF(A208="","",DATE(YEAR(A208),MONTH(A208),1))</f>
        <v/>
      </c>
    </row>
    <row r="209">
      <c r="A209" s="48" t="n"/>
      <c r="B209" s="44" t="n"/>
      <c r="C209" s="44" t="n"/>
      <c r="D209" s="45" t="n"/>
      <c r="E209" s="44" t="n"/>
      <c r="F209" s="23">
        <f>IF(B209="","",IFERROR(INDEX(Cat_Tipo,MATCH(B209,Lista_Categorias,0)),"Deseo"))</f>
        <v/>
      </c>
      <c r="G209" s="23">
        <f>IF(A209="","",WEEKNUM(A209,2))</f>
        <v/>
      </c>
      <c r="H209" s="49">
        <f>IF(A209="","",DATE(YEAR(A209),MONTH(A209),1))</f>
        <v/>
      </c>
    </row>
    <row r="210">
      <c r="A210" s="48" t="n"/>
      <c r="B210" s="44" t="n"/>
      <c r="C210" s="44" t="n"/>
      <c r="D210" s="45" t="n"/>
      <c r="E210" s="44" t="n"/>
      <c r="F210" s="23">
        <f>IF(B210="","",IFERROR(INDEX(Cat_Tipo,MATCH(B210,Lista_Categorias,0)),"Deseo"))</f>
        <v/>
      </c>
      <c r="G210" s="23">
        <f>IF(A210="","",WEEKNUM(A210,2))</f>
        <v/>
      </c>
      <c r="H210" s="49">
        <f>IF(A210="","",DATE(YEAR(A210),MONTH(A210),1))</f>
        <v/>
      </c>
    </row>
    <row r="211">
      <c r="A211" s="48" t="n"/>
      <c r="B211" s="44" t="n"/>
      <c r="C211" s="44" t="n"/>
      <c r="D211" s="45" t="n"/>
      <c r="E211" s="44" t="n"/>
      <c r="F211" s="23">
        <f>IF(B211="","",IFERROR(INDEX(Cat_Tipo,MATCH(B211,Lista_Categorias,0)),"Deseo"))</f>
        <v/>
      </c>
      <c r="G211" s="23">
        <f>IF(A211="","",WEEKNUM(A211,2))</f>
        <v/>
      </c>
      <c r="H211" s="49">
        <f>IF(A211="","",DATE(YEAR(A211),MONTH(A211),1))</f>
        <v/>
      </c>
    </row>
    <row r="212">
      <c r="A212" s="48" t="n"/>
      <c r="B212" s="44" t="n"/>
      <c r="C212" s="44" t="n"/>
      <c r="D212" s="45" t="n"/>
      <c r="E212" s="44" t="n"/>
      <c r="F212" s="23">
        <f>IF(B212="","",IFERROR(INDEX(Cat_Tipo,MATCH(B212,Lista_Categorias,0)),"Deseo"))</f>
        <v/>
      </c>
      <c r="G212" s="23">
        <f>IF(A212="","",WEEKNUM(A212,2))</f>
        <v/>
      </c>
      <c r="H212" s="49">
        <f>IF(A212="","",DATE(YEAR(A212),MONTH(A212),1))</f>
        <v/>
      </c>
    </row>
    <row r="213">
      <c r="A213" s="48" t="n"/>
      <c r="B213" s="44" t="n"/>
      <c r="C213" s="44" t="n"/>
      <c r="D213" s="45" t="n"/>
      <c r="E213" s="44" t="n"/>
      <c r="F213" s="23">
        <f>IF(B213="","",IFERROR(INDEX(Cat_Tipo,MATCH(B213,Lista_Categorias,0)),"Deseo"))</f>
        <v/>
      </c>
      <c r="G213" s="23">
        <f>IF(A213="","",WEEKNUM(A213,2))</f>
        <v/>
      </c>
      <c r="H213" s="49">
        <f>IF(A213="","",DATE(YEAR(A213),MONTH(A213),1))</f>
        <v/>
      </c>
    </row>
    <row r="214">
      <c r="A214" s="48" t="n"/>
      <c r="B214" s="44" t="n"/>
      <c r="C214" s="44" t="n"/>
      <c r="D214" s="45" t="n"/>
      <c r="E214" s="44" t="n"/>
      <c r="F214" s="23">
        <f>IF(B214="","",IFERROR(INDEX(Cat_Tipo,MATCH(B214,Lista_Categorias,0)),"Deseo"))</f>
        <v/>
      </c>
      <c r="G214" s="23">
        <f>IF(A214="","",WEEKNUM(A214,2))</f>
        <v/>
      </c>
      <c r="H214" s="49">
        <f>IF(A214="","",DATE(YEAR(A214),MONTH(A214),1))</f>
        <v/>
      </c>
    </row>
    <row r="215">
      <c r="A215" s="48" t="n"/>
      <c r="B215" s="44" t="n"/>
      <c r="C215" s="44" t="n"/>
      <c r="D215" s="45" t="n"/>
      <c r="E215" s="44" t="n"/>
      <c r="F215" s="23">
        <f>IF(B215="","",IFERROR(INDEX(Cat_Tipo,MATCH(B215,Lista_Categorias,0)),"Deseo"))</f>
        <v/>
      </c>
      <c r="G215" s="23">
        <f>IF(A215="","",WEEKNUM(A215,2))</f>
        <v/>
      </c>
      <c r="H215" s="49">
        <f>IF(A215="","",DATE(YEAR(A215),MONTH(A215),1))</f>
        <v/>
      </c>
    </row>
    <row r="216">
      <c r="A216" s="48" t="n"/>
      <c r="B216" s="44" t="n"/>
      <c r="C216" s="44" t="n"/>
      <c r="D216" s="45" t="n"/>
      <c r="E216" s="44" t="n"/>
      <c r="F216" s="23">
        <f>IF(B216="","",IFERROR(INDEX(Cat_Tipo,MATCH(B216,Lista_Categorias,0)),"Deseo"))</f>
        <v/>
      </c>
      <c r="G216" s="23">
        <f>IF(A216="","",WEEKNUM(A216,2))</f>
        <v/>
      </c>
      <c r="H216" s="49">
        <f>IF(A216="","",DATE(YEAR(A216),MONTH(A216),1))</f>
        <v/>
      </c>
    </row>
    <row r="217">
      <c r="A217" s="48" t="n"/>
      <c r="B217" s="44" t="n"/>
      <c r="C217" s="44" t="n"/>
      <c r="D217" s="45" t="n"/>
      <c r="E217" s="44" t="n"/>
      <c r="F217" s="23">
        <f>IF(B217="","",IFERROR(INDEX(Cat_Tipo,MATCH(B217,Lista_Categorias,0)),"Deseo"))</f>
        <v/>
      </c>
      <c r="G217" s="23">
        <f>IF(A217="","",WEEKNUM(A217,2))</f>
        <v/>
      </c>
      <c r="H217" s="49">
        <f>IF(A217="","",DATE(YEAR(A217),MONTH(A217),1))</f>
        <v/>
      </c>
    </row>
    <row r="218">
      <c r="A218" s="48" t="n"/>
      <c r="B218" s="44" t="n"/>
      <c r="C218" s="44" t="n"/>
      <c r="D218" s="45" t="n"/>
      <c r="E218" s="44" t="n"/>
      <c r="F218" s="23">
        <f>IF(B218="","",IFERROR(INDEX(Cat_Tipo,MATCH(B218,Lista_Categorias,0)),"Deseo"))</f>
        <v/>
      </c>
      <c r="G218" s="23">
        <f>IF(A218="","",WEEKNUM(A218,2))</f>
        <v/>
      </c>
      <c r="H218" s="49">
        <f>IF(A218="","",DATE(YEAR(A218),MONTH(A218),1))</f>
        <v/>
      </c>
    </row>
    <row r="219">
      <c r="A219" s="48" t="n"/>
      <c r="B219" s="44" t="n"/>
      <c r="C219" s="44" t="n"/>
      <c r="D219" s="45" t="n"/>
      <c r="E219" s="44" t="n"/>
      <c r="F219" s="23">
        <f>IF(B219="","",IFERROR(INDEX(Cat_Tipo,MATCH(B219,Lista_Categorias,0)),"Deseo"))</f>
        <v/>
      </c>
      <c r="G219" s="23">
        <f>IF(A219="","",WEEKNUM(A219,2))</f>
        <v/>
      </c>
      <c r="H219" s="49">
        <f>IF(A219="","",DATE(YEAR(A219),MONTH(A219),1))</f>
        <v/>
      </c>
    </row>
    <row r="220">
      <c r="A220" s="48" t="n"/>
      <c r="B220" s="44" t="n"/>
      <c r="C220" s="44" t="n"/>
      <c r="D220" s="45" t="n"/>
      <c r="E220" s="44" t="n"/>
      <c r="F220" s="23">
        <f>IF(B220="","",IFERROR(INDEX(Cat_Tipo,MATCH(B220,Lista_Categorias,0)),"Deseo"))</f>
        <v/>
      </c>
      <c r="G220" s="23">
        <f>IF(A220="","",WEEKNUM(A220,2))</f>
        <v/>
      </c>
      <c r="H220" s="49">
        <f>IF(A220="","",DATE(YEAR(A220),MONTH(A220),1))</f>
        <v/>
      </c>
    </row>
    <row r="221">
      <c r="A221" s="48" t="n"/>
      <c r="B221" s="44" t="n"/>
      <c r="C221" s="44" t="n"/>
      <c r="D221" s="45" t="n"/>
      <c r="E221" s="44" t="n"/>
      <c r="F221" s="23">
        <f>IF(B221="","",IFERROR(INDEX(Cat_Tipo,MATCH(B221,Lista_Categorias,0)),"Deseo"))</f>
        <v/>
      </c>
      <c r="G221" s="23">
        <f>IF(A221="","",WEEKNUM(A221,2))</f>
        <v/>
      </c>
      <c r="H221" s="49">
        <f>IF(A221="","",DATE(YEAR(A221),MONTH(A221),1))</f>
        <v/>
      </c>
    </row>
    <row r="222">
      <c r="A222" s="48" t="n"/>
      <c r="B222" s="44" t="n"/>
      <c r="C222" s="44" t="n"/>
      <c r="D222" s="45" t="n"/>
      <c r="E222" s="44" t="n"/>
      <c r="F222" s="23">
        <f>IF(B222="","",IFERROR(INDEX(Cat_Tipo,MATCH(B222,Lista_Categorias,0)),"Deseo"))</f>
        <v/>
      </c>
      <c r="G222" s="23">
        <f>IF(A222="","",WEEKNUM(A222,2))</f>
        <v/>
      </c>
      <c r="H222" s="49">
        <f>IF(A222="","",DATE(YEAR(A222),MONTH(A222),1))</f>
        <v/>
      </c>
    </row>
    <row r="223">
      <c r="A223" s="48" t="n"/>
      <c r="B223" s="44" t="n"/>
      <c r="C223" s="44" t="n"/>
      <c r="D223" s="45" t="n"/>
      <c r="E223" s="44" t="n"/>
      <c r="F223" s="23">
        <f>IF(B223="","",IFERROR(INDEX(Cat_Tipo,MATCH(B223,Lista_Categorias,0)),"Deseo"))</f>
        <v/>
      </c>
      <c r="G223" s="23">
        <f>IF(A223="","",WEEKNUM(A223,2))</f>
        <v/>
      </c>
      <c r="H223" s="49">
        <f>IF(A223="","",DATE(YEAR(A223),MONTH(A223),1))</f>
        <v/>
      </c>
    </row>
    <row r="224">
      <c r="A224" s="48" t="n"/>
      <c r="B224" s="44" t="n"/>
      <c r="C224" s="44" t="n"/>
      <c r="D224" s="45" t="n"/>
      <c r="E224" s="44" t="n"/>
      <c r="F224" s="23">
        <f>IF(B224="","",IFERROR(INDEX(Cat_Tipo,MATCH(B224,Lista_Categorias,0)),"Deseo"))</f>
        <v/>
      </c>
      <c r="G224" s="23">
        <f>IF(A224="","",WEEKNUM(A224,2))</f>
        <v/>
      </c>
      <c r="H224" s="49">
        <f>IF(A224="","",DATE(YEAR(A224),MONTH(A224),1))</f>
        <v/>
      </c>
    </row>
    <row r="225">
      <c r="A225" s="48" t="n"/>
      <c r="B225" s="44" t="n"/>
      <c r="C225" s="44" t="n"/>
      <c r="D225" s="45" t="n"/>
      <c r="E225" s="44" t="n"/>
      <c r="F225" s="23">
        <f>IF(B225="","",IFERROR(INDEX(Cat_Tipo,MATCH(B225,Lista_Categorias,0)),"Deseo"))</f>
        <v/>
      </c>
      <c r="G225" s="23">
        <f>IF(A225="","",WEEKNUM(A225,2))</f>
        <v/>
      </c>
      <c r="H225" s="49">
        <f>IF(A225="","",DATE(YEAR(A225),MONTH(A225),1))</f>
        <v/>
      </c>
    </row>
    <row r="226">
      <c r="A226" s="48" t="n"/>
      <c r="B226" s="44" t="n"/>
      <c r="C226" s="44" t="n"/>
      <c r="D226" s="45" t="n"/>
      <c r="E226" s="44" t="n"/>
      <c r="F226" s="23">
        <f>IF(B226="","",IFERROR(INDEX(Cat_Tipo,MATCH(B226,Lista_Categorias,0)),"Deseo"))</f>
        <v/>
      </c>
      <c r="G226" s="23">
        <f>IF(A226="","",WEEKNUM(A226,2))</f>
        <v/>
      </c>
      <c r="H226" s="49">
        <f>IF(A226="","",DATE(YEAR(A226),MONTH(A226),1))</f>
        <v/>
      </c>
    </row>
    <row r="227">
      <c r="A227" s="48" t="n"/>
      <c r="B227" s="44" t="n"/>
      <c r="C227" s="44" t="n"/>
      <c r="D227" s="45" t="n"/>
      <c r="E227" s="44" t="n"/>
      <c r="F227" s="23">
        <f>IF(B227="","",IFERROR(INDEX(Cat_Tipo,MATCH(B227,Lista_Categorias,0)),"Deseo"))</f>
        <v/>
      </c>
      <c r="G227" s="23">
        <f>IF(A227="","",WEEKNUM(A227,2))</f>
        <v/>
      </c>
      <c r="H227" s="49">
        <f>IF(A227="","",DATE(YEAR(A227),MONTH(A227),1))</f>
        <v/>
      </c>
    </row>
    <row r="228">
      <c r="A228" s="48" t="n"/>
      <c r="B228" s="44" t="n"/>
      <c r="C228" s="44" t="n"/>
      <c r="D228" s="45" t="n"/>
      <c r="E228" s="44" t="n"/>
      <c r="F228" s="23">
        <f>IF(B228="","",IFERROR(INDEX(Cat_Tipo,MATCH(B228,Lista_Categorias,0)),"Deseo"))</f>
        <v/>
      </c>
      <c r="G228" s="23">
        <f>IF(A228="","",WEEKNUM(A228,2))</f>
        <v/>
      </c>
      <c r="H228" s="49">
        <f>IF(A228="","",DATE(YEAR(A228),MONTH(A228),1))</f>
        <v/>
      </c>
    </row>
    <row r="229">
      <c r="A229" s="48" t="n"/>
      <c r="B229" s="44" t="n"/>
      <c r="C229" s="44" t="n"/>
      <c r="D229" s="45" t="n"/>
      <c r="E229" s="44" t="n"/>
      <c r="F229" s="23">
        <f>IF(B229="","",IFERROR(INDEX(Cat_Tipo,MATCH(B229,Lista_Categorias,0)),"Deseo"))</f>
        <v/>
      </c>
      <c r="G229" s="23">
        <f>IF(A229="","",WEEKNUM(A229,2))</f>
        <v/>
      </c>
      <c r="H229" s="49">
        <f>IF(A229="","",DATE(YEAR(A229),MONTH(A229),1))</f>
        <v/>
      </c>
    </row>
    <row r="230">
      <c r="A230" s="48" t="n"/>
      <c r="B230" s="44" t="n"/>
      <c r="C230" s="44" t="n"/>
      <c r="D230" s="45" t="n"/>
      <c r="E230" s="44" t="n"/>
      <c r="F230" s="23">
        <f>IF(B230="","",IFERROR(INDEX(Cat_Tipo,MATCH(B230,Lista_Categorias,0)),"Deseo"))</f>
        <v/>
      </c>
      <c r="G230" s="23">
        <f>IF(A230="","",WEEKNUM(A230,2))</f>
        <v/>
      </c>
      <c r="H230" s="49">
        <f>IF(A230="","",DATE(YEAR(A230),MONTH(A230),1))</f>
        <v/>
      </c>
    </row>
    <row r="231">
      <c r="A231" s="48" t="n"/>
      <c r="B231" s="44" t="n"/>
      <c r="C231" s="44" t="n"/>
      <c r="D231" s="45" t="n"/>
      <c r="E231" s="44" t="n"/>
      <c r="F231" s="23">
        <f>IF(B231="","",IFERROR(INDEX(Cat_Tipo,MATCH(B231,Lista_Categorias,0)),"Deseo"))</f>
        <v/>
      </c>
      <c r="G231" s="23">
        <f>IF(A231="","",WEEKNUM(A231,2))</f>
        <v/>
      </c>
      <c r="H231" s="49">
        <f>IF(A231="","",DATE(YEAR(A231),MONTH(A231),1))</f>
        <v/>
      </c>
    </row>
    <row r="232">
      <c r="A232" s="48" t="n"/>
      <c r="B232" s="44" t="n"/>
      <c r="C232" s="44" t="n"/>
      <c r="D232" s="45" t="n"/>
      <c r="E232" s="44" t="n"/>
      <c r="F232" s="23">
        <f>IF(B232="","",IFERROR(INDEX(Cat_Tipo,MATCH(B232,Lista_Categorias,0)),"Deseo"))</f>
        <v/>
      </c>
      <c r="G232" s="23">
        <f>IF(A232="","",WEEKNUM(A232,2))</f>
        <v/>
      </c>
      <c r="H232" s="49">
        <f>IF(A232="","",DATE(YEAR(A232),MONTH(A232),1))</f>
        <v/>
      </c>
    </row>
    <row r="233">
      <c r="A233" s="48" t="n"/>
      <c r="B233" s="44" t="n"/>
      <c r="C233" s="44" t="n"/>
      <c r="D233" s="45" t="n"/>
      <c r="E233" s="44" t="n"/>
      <c r="F233" s="23">
        <f>IF(B233="","",IFERROR(INDEX(Cat_Tipo,MATCH(B233,Lista_Categorias,0)),"Deseo"))</f>
        <v/>
      </c>
      <c r="G233" s="23">
        <f>IF(A233="","",WEEKNUM(A233,2))</f>
        <v/>
      </c>
      <c r="H233" s="49">
        <f>IF(A233="","",DATE(YEAR(A233),MONTH(A233),1))</f>
        <v/>
      </c>
    </row>
    <row r="234">
      <c r="A234" s="48" t="n"/>
      <c r="B234" s="44" t="n"/>
      <c r="C234" s="44" t="n"/>
      <c r="D234" s="45" t="n"/>
      <c r="E234" s="44" t="n"/>
      <c r="F234" s="23">
        <f>IF(B234="","",IFERROR(INDEX(Cat_Tipo,MATCH(B234,Lista_Categorias,0)),"Deseo"))</f>
        <v/>
      </c>
      <c r="G234" s="23">
        <f>IF(A234="","",WEEKNUM(A234,2))</f>
        <v/>
      </c>
      <c r="H234" s="49">
        <f>IF(A234="","",DATE(YEAR(A234),MONTH(A234),1))</f>
        <v/>
      </c>
    </row>
    <row r="235">
      <c r="A235" s="48" t="n"/>
      <c r="B235" s="44" t="n"/>
      <c r="C235" s="44" t="n"/>
      <c r="D235" s="45" t="n"/>
      <c r="E235" s="44" t="n"/>
      <c r="F235" s="23">
        <f>IF(B235="","",IFERROR(INDEX(Cat_Tipo,MATCH(B235,Lista_Categorias,0)),"Deseo"))</f>
        <v/>
      </c>
      <c r="G235" s="23">
        <f>IF(A235="","",WEEKNUM(A235,2))</f>
        <v/>
      </c>
      <c r="H235" s="49">
        <f>IF(A235="","",DATE(YEAR(A235),MONTH(A235),1))</f>
        <v/>
      </c>
    </row>
    <row r="236">
      <c r="A236" s="48" t="n"/>
      <c r="B236" s="44" t="n"/>
      <c r="C236" s="44" t="n"/>
      <c r="D236" s="45" t="n"/>
      <c r="E236" s="44" t="n"/>
      <c r="F236" s="23">
        <f>IF(B236="","",IFERROR(INDEX(Cat_Tipo,MATCH(B236,Lista_Categorias,0)),"Deseo"))</f>
        <v/>
      </c>
      <c r="G236" s="23">
        <f>IF(A236="","",WEEKNUM(A236,2))</f>
        <v/>
      </c>
      <c r="H236" s="49">
        <f>IF(A236="","",DATE(YEAR(A236),MONTH(A236),1))</f>
        <v/>
      </c>
    </row>
    <row r="237">
      <c r="A237" s="48" t="n"/>
      <c r="B237" s="44" t="n"/>
      <c r="C237" s="44" t="n"/>
      <c r="D237" s="45" t="n"/>
      <c r="E237" s="44" t="n"/>
      <c r="F237" s="23">
        <f>IF(B237="","",IFERROR(INDEX(Cat_Tipo,MATCH(B237,Lista_Categorias,0)),"Deseo"))</f>
        <v/>
      </c>
      <c r="G237" s="23">
        <f>IF(A237="","",WEEKNUM(A237,2))</f>
        <v/>
      </c>
      <c r="H237" s="49">
        <f>IF(A237="","",DATE(YEAR(A237),MONTH(A237),1))</f>
        <v/>
      </c>
    </row>
    <row r="238">
      <c r="A238" s="48" t="n"/>
      <c r="B238" s="44" t="n"/>
      <c r="C238" s="44" t="n"/>
      <c r="D238" s="45" t="n"/>
      <c r="E238" s="44" t="n"/>
      <c r="F238" s="23">
        <f>IF(B238="","",IFERROR(INDEX(Cat_Tipo,MATCH(B238,Lista_Categorias,0)),"Deseo"))</f>
        <v/>
      </c>
      <c r="G238" s="23">
        <f>IF(A238="","",WEEKNUM(A238,2))</f>
        <v/>
      </c>
      <c r="H238" s="49">
        <f>IF(A238="","",DATE(YEAR(A238),MONTH(A238),1))</f>
        <v/>
      </c>
    </row>
    <row r="239">
      <c r="A239" s="48" t="n"/>
      <c r="B239" s="44" t="n"/>
      <c r="C239" s="44" t="n"/>
      <c r="D239" s="45" t="n"/>
      <c r="E239" s="44" t="n"/>
      <c r="F239" s="23">
        <f>IF(B239="","",IFERROR(INDEX(Cat_Tipo,MATCH(B239,Lista_Categorias,0)),"Deseo"))</f>
        <v/>
      </c>
      <c r="G239" s="23">
        <f>IF(A239="","",WEEKNUM(A239,2))</f>
        <v/>
      </c>
      <c r="H239" s="49">
        <f>IF(A239="","",DATE(YEAR(A239),MONTH(A239),1))</f>
        <v/>
      </c>
    </row>
    <row r="240">
      <c r="A240" s="48" t="n"/>
      <c r="B240" s="44" t="n"/>
      <c r="C240" s="44" t="n"/>
      <c r="D240" s="45" t="n"/>
      <c r="E240" s="44" t="n"/>
      <c r="F240" s="23">
        <f>IF(B240="","",IFERROR(INDEX(Cat_Tipo,MATCH(B240,Lista_Categorias,0)),"Deseo"))</f>
        <v/>
      </c>
      <c r="G240" s="23">
        <f>IF(A240="","",WEEKNUM(A240,2))</f>
        <v/>
      </c>
      <c r="H240" s="49">
        <f>IF(A240="","",DATE(YEAR(A240),MONTH(A240),1))</f>
        <v/>
      </c>
    </row>
    <row r="241">
      <c r="A241" s="48" t="n"/>
      <c r="B241" s="44" t="n"/>
      <c r="C241" s="44" t="n"/>
      <c r="D241" s="45" t="n"/>
      <c r="E241" s="44" t="n"/>
      <c r="F241" s="23">
        <f>IF(B241="","",IFERROR(INDEX(Cat_Tipo,MATCH(B241,Lista_Categorias,0)),"Deseo"))</f>
        <v/>
      </c>
      <c r="G241" s="23">
        <f>IF(A241="","",WEEKNUM(A241,2))</f>
        <v/>
      </c>
      <c r="H241" s="49">
        <f>IF(A241="","",DATE(YEAR(A241),MONTH(A241),1))</f>
        <v/>
      </c>
    </row>
    <row r="242">
      <c r="A242" s="48" t="n"/>
      <c r="B242" s="44" t="n"/>
      <c r="C242" s="44" t="n"/>
      <c r="D242" s="45" t="n"/>
      <c r="E242" s="44" t="n"/>
      <c r="F242" s="23">
        <f>IF(B242="","",IFERROR(INDEX(Cat_Tipo,MATCH(B242,Lista_Categorias,0)),"Deseo"))</f>
        <v/>
      </c>
      <c r="G242" s="23">
        <f>IF(A242="","",WEEKNUM(A242,2))</f>
        <v/>
      </c>
      <c r="H242" s="49">
        <f>IF(A242="","",DATE(YEAR(A242),MONTH(A242),1))</f>
        <v/>
      </c>
    </row>
    <row r="243">
      <c r="A243" s="48" t="n"/>
      <c r="B243" s="44" t="n"/>
      <c r="C243" s="44" t="n"/>
      <c r="D243" s="45" t="n"/>
      <c r="E243" s="44" t="n"/>
      <c r="F243" s="23">
        <f>IF(B243="","",IFERROR(INDEX(Cat_Tipo,MATCH(B243,Lista_Categorias,0)),"Deseo"))</f>
        <v/>
      </c>
      <c r="G243" s="23">
        <f>IF(A243="","",WEEKNUM(A243,2))</f>
        <v/>
      </c>
      <c r="H243" s="49">
        <f>IF(A243="","",DATE(YEAR(A243),MONTH(A243),1))</f>
        <v/>
      </c>
    </row>
    <row r="244">
      <c r="A244" s="48" t="n"/>
      <c r="B244" s="44" t="n"/>
      <c r="C244" s="44" t="n"/>
      <c r="D244" s="45" t="n"/>
      <c r="E244" s="44" t="n"/>
      <c r="F244" s="23">
        <f>IF(B244="","",IFERROR(INDEX(Cat_Tipo,MATCH(B244,Lista_Categorias,0)),"Deseo"))</f>
        <v/>
      </c>
      <c r="G244" s="23">
        <f>IF(A244="","",WEEKNUM(A244,2))</f>
        <v/>
      </c>
      <c r="H244" s="49">
        <f>IF(A244="","",DATE(YEAR(A244),MONTH(A244),1))</f>
        <v/>
      </c>
    </row>
    <row r="245">
      <c r="A245" s="48" t="n"/>
      <c r="B245" s="44" t="n"/>
      <c r="C245" s="44" t="n"/>
      <c r="D245" s="45" t="n"/>
      <c r="E245" s="44" t="n"/>
      <c r="F245" s="23">
        <f>IF(B245="","",IFERROR(INDEX(Cat_Tipo,MATCH(B245,Lista_Categorias,0)),"Deseo"))</f>
        <v/>
      </c>
      <c r="G245" s="23">
        <f>IF(A245="","",WEEKNUM(A245,2))</f>
        <v/>
      </c>
      <c r="H245" s="49">
        <f>IF(A245="","",DATE(YEAR(A245),MONTH(A245),1))</f>
        <v/>
      </c>
    </row>
    <row r="246">
      <c r="A246" s="48" t="n"/>
      <c r="B246" s="44" t="n"/>
      <c r="C246" s="44" t="n"/>
      <c r="D246" s="45" t="n"/>
      <c r="E246" s="44" t="n"/>
      <c r="F246" s="23">
        <f>IF(B246="","",IFERROR(INDEX(Cat_Tipo,MATCH(B246,Lista_Categorias,0)),"Deseo"))</f>
        <v/>
      </c>
      <c r="G246" s="23">
        <f>IF(A246="","",WEEKNUM(A246,2))</f>
        <v/>
      </c>
      <c r="H246" s="49">
        <f>IF(A246="","",DATE(YEAR(A246),MONTH(A246),1))</f>
        <v/>
      </c>
    </row>
    <row r="247">
      <c r="A247" s="48" t="n"/>
      <c r="B247" s="44" t="n"/>
      <c r="C247" s="44" t="n"/>
      <c r="D247" s="45" t="n"/>
      <c r="E247" s="44" t="n"/>
      <c r="F247" s="23">
        <f>IF(B247="","",IFERROR(INDEX(Cat_Tipo,MATCH(B247,Lista_Categorias,0)),"Deseo"))</f>
        <v/>
      </c>
      <c r="G247" s="23">
        <f>IF(A247="","",WEEKNUM(A247,2))</f>
        <v/>
      </c>
      <c r="H247" s="49">
        <f>IF(A247="","",DATE(YEAR(A247),MONTH(A247),1))</f>
        <v/>
      </c>
    </row>
    <row r="248">
      <c r="A248" s="48" t="n"/>
      <c r="B248" s="44" t="n"/>
      <c r="C248" s="44" t="n"/>
      <c r="D248" s="45" t="n"/>
      <c r="E248" s="44" t="n"/>
      <c r="F248" s="23">
        <f>IF(B248="","",IFERROR(INDEX(Cat_Tipo,MATCH(B248,Lista_Categorias,0)),"Deseo"))</f>
        <v/>
      </c>
      <c r="G248" s="23">
        <f>IF(A248="","",WEEKNUM(A248,2))</f>
        <v/>
      </c>
      <c r="H248" s="49">
        <f>IF(A248="","",DATE(YEAR(A248),MONTH(A248),1))</f>
        <v/>
      </c>
    </row>
    <row r="249">
      <c r="A249" s="48" t="n"/>
      <c r="B249" s="44" t="n"/>
      <c r="C249" s="44" t="n"/>
      <c r="D249" s="45" t="n"/>
      <c r="E249" s="44" t="n"/>
      <c r="F249" s="23">
        <f>IF(B249="","",IFERROR(INDEX(Cat_Tipo,MATCH(B249,Lista_Categorias,0)),"Deseo"))</f>
        <v/>
      </c>
      <c r="G249" s="23">
        <f>IF(A249="","",WEEKNUM(A249,2))</f>
        <v/>
      </c>
      <c r="H249" s="49">
        <f>IF(A249="","",DATE(YEAR(A249),MONTH(A249),1))</f>
        <v/>
      </c>
    </row>
    <row r="250">
      <c r="A250" s="48" t="n"/>
      <c r="B250" s="44" t="n"/>
      <c r="C250" s="44" t="n"/>
      <c r="D250" s="45" t="n"/>
      <c r="E250" s="44" t="n"/>
      <c r="F250" s="23">
        <f>IF(B250="","",IFERROR(INDEX(Cat_Tipo,MATCH(B250,Lista_Categorias,0)),"Deseo"))</f>
        <v/>
      </c>
      <c r="G250" s="23">
        <f>IF(A250="","",WEEKNUM(A250,2))</f>
        <v/>
      </c>
      <c r="H250" s="49">
        <f>IF(A250="","",DATE(YEAR(A250),MONTH(A250),1))</f>
        <v/>
      </c>
    </row>
    <row r="251">
      <c r="A251" s="48" t="n"/>
      <c r="B251" s="44" t="n"/>
      <c r="C251" s="44" t="n"/>
      <c r="D251" s="45" t="n"/>
      <c r="E251" s="44" t="n"/>
      <c r="F251" s="23">
        <f>IF(B251="","",IFERROR(INDEX(Cat_Tipo,MATCH(B251,Lista_Categorias,0)),"Deseo"))</f>
        <v/>
      </c>
      <c r="G251" s="23">
        <f>IF(A251="","",WEEKNUM(A251,2))</f>
        <v/>
      </c>
      <c r="H251" s="49">
        <f>IF(A251="","",DATE(YEAR(A251),MONTH(A251),1))</f>
        <v/>
      </c>
    </row>
    <row r="252">
      <c r="A252" s="48" t="n"/>
      <c r="B252" s="44" t="n"/>
      <c r="C252" s="44" t="n"/>
      <c r="D252" s="45" t="n"/>
      <c r="E252" s="44" t="n"/>
      <c r="F252" s="23">
        <f>IF(B252="","",IFERROR(INDEX(Cat_Tipo,MATCH(B252,Lista_Categorias,0)),"Deseo"))</f>
        <v/>
      </c>
      <c r="G252" s="23">
        <f>IF(A252="","",WEEKNUM(A252,2))</f>
        <v/>
      </c>
      <c r="H252" s="49">
        <f>IF(A252="","",DATE(YEAR(A252),MONTH(A252),1))</f>
        <v/>
      </c>
    </row>
    <row r="253">
      <c r="A253" s="48" t="n"/>
      <c r="B253" s="44" t="n"/>
      <c r="C253" s="44" t="n"/>
      <c r="D253" s="45" t="n"/>
      <c r="E253" s="44" t="n"/>
      <c r="F253" s="23">
        <f>IF(B253="","",IFERROR(INDEX(Cat_Tipo,MATCH(B253,Lista_Categorias,0)),"Deseo"))</f>
        <v/>
      </c>
      <c r="G253" s="23">
        <f>IF(A253="","",WEEKNUM(A253,2))</f>
        <v/>
      </c>
      <c r="H253" s="49">
        <f>IF(A253="","",DATE(YEAR(A253),MONTH(A253),1))</f>
        <v/>
      </c>
    </row>
    <row r="254">
      <c r="A254" s="48" t="n"/>
      <c r="B254" s="44" t="n"/>
      <c r="C254" s="44" t="n"/>
      <c r="D254" s="45" t="n"/>
      <c r="E254" s="44" t="n"/>
      <c r="F254" s="23">
        <f>IF(B254="","",IFERROR(INDEX(Cat_Tipo,MATCH(B254,Lista_Categorias,0)),"Deseo"))</f>
        <v/>
      </c>
      <c r="G254" s="23">
        <f>IF(A254="","",WEEKNUM(A254,2))</f>
        <v/>
      </c>
      <c r="H254" s="49">
        <f>IF(A254="","",DATE(YEAR(A254),MONTH(A254),1))</f>
        <v/>
      </c>
    </row>
    <row r="255">
      <c r="A255" s="48" t="n"/>
      <c r="B255" s="44" t="n"/>
      <c r="C255" s="44" t="n"/>
      <c r="D255" s="45" t="n"/>
      <c r="E255" s="44" t="n"/>
      <c r="F255" s="23">
        <f>IF(B255="","",IFERROR(INDEX(Cat_Tipo,MATCH(B255,Lista_Categorias,0)),"Deseo"))</f>
        <v/>
      </c>
      <c r="G255" s="23">
        <f>IF(A255="","",WEEKNUM(A255,2))</f>
        <v/>
      </c>
      <c r="H255" s="49">
        <f>IF(A255="","",DATE(YEAR(A255),MONTH(A255),1))</f>
        <v/>
      </c>
    </row>
    <row r="256">
      <c r="A256" s="48" t="n"/>
      <c r="B256" s="44" t="n"/>
      <c r="C256" s="44" t="n"/>
      <c r="D256" s="45" t="n"/>
      <c r="E256" s="44" t="n"/>
      <c r="F256" s="23">
        <f>IF(B256="","",IFERROR(INDEX(Cat_Tipo,MATCH(B256,Lista_Categorias,0)),"Deseo"))</f>
        <v/>
      </c>
      <c r="G256" s="23">
        <f>IF(A256="","",WEEKNUM(A256,2))</f>
        <v/>
      </c>
      <c r="H256" s="49">
        <f>IF(A256="","",DATE(YEAR(A256),MONTH(A256),1))</f>
        <v/>
      </c>
    </row>
    <row r="257">
      <c r="A257" s="48" t="n"/>
      <c r="B257" s="44" t="n"/>
      <c r="C257" s="44" t="n"/>
      <c r="D257" s="45" t="n"/>
      <c r="E257" s="44" t="n"/>
      <c r="F257" s="23">
        <f>IF(B257="","",IFERROR(INDEX(Cat_Tipo,MATCH(B257,Lista_Categorias,0)),"Deseo"))</f>
        <v/>
      </c>
      <c r="G257" s="23">
        <f>IF(A257="","",WEEKNUM(A257,2))</f>
        <v/>
      </c>
      <c r="H257" s="49">
        <f>IF(A257="","",DATE(YEAR(A257),MONTH(A257),1))</f>
        <v/>
      </c>
    </row>
    <row r="258">
      <c r="A258" s="48" t="n"/>
      <c r="B258" s="44" t="n"/>
      <c r="C258" s="44" t="n"/>
      <c r="D258" s="45" t="n"/>
      <c r="E258" s="44" t="n"/>
      <c r="F258" s="23">
        <f>IF(B258="","",IFERROR(INDEX(Cat_Tipo,MATCH(B258,Lista_Categorias,0)),"Deseo"))</f>
        <v/>
      </c>
      <c r="G258" s="23">
        <f>IF(A258="","",WEEKNUM(A258,2))</f>
        <v/>
      </c>
      <c r="H258" s="49">
        <f>IF(A258="","",DATE(YEAR(A258),MONTH(A258),1))</f>
        <v/>
      </c>
    </row>
    <row r="259">
      <c r="A259" s="48" t="n"/>
      <c r="B259" s="44" t="n"/>
      <c r="C259" s="44" t="n"/>
      <c r="D259" s="45" t="n"/>
      <c r="E259" s="44" t="n"/>
      <c r="F259" s="23">
        <f>IF(B259="","",IFERROR(INDEX(Cat_Tipo,MATCH(B259,Lista_Categorias,0)),"Deseo"))</f>
        <v/>
      </c>
      <c r="G259" s="23">
        <f>IF(A259="","",WEEKNUM(A259,2))</f>
        <v/>
      </c>
      <c r="H259" s="49">
        <f>IF(A259="","",DATE(YEAR(A259),MONTH(A259),1))</f>
        <v/>
      </c>
    </row>
    <row r="260">
      <c r="A260" s="48" t="n"/>
      <c r="B260" s="44" t="n"/>
      <c r="C260" s="44" t="n"/>
      <c r="D260" s="45" t="n"/>
      <c r="E260" s="44" t="n"/>
      <c r="F260" s="23">
        <f>IF(B260="","",IFERROR(INDEX(Cat_Tipo,MATCH(B260,Lista_Categorias,0)),"Deseo"))</f>
        <v/>
      </c>
      <c r="G260" s="23">
        <f>IF(A260="","",WEEKNUM(A260,2))</f>
        <v/>
      </c>
      <c r="H260" s="49">
        <f>IF(A260="","",DATE(YEAR(A260),MONTH(A260),1))</f>
        <v/>
      </c>
    </row>
    <row r="261">
      <c r="A261" s="48" t="n"/>
      <c r="B261" s="44" t="n"/>
      <c r="C261" s="44" t="n"/>
      <c r="D261" s="45" t="n"/>
      <c r="E261" s="44" t="n"/>
      <c r="F261" s="23">
        <f>IF(B261="","",IFERROR(INDEX(Cat_Tipo,MATCH(B261,Lista_Categorias,0)),"Deseo"))</f>
        <v/>
      </c>
      <c r="G261" s="23">
        <f>IF(A261="","",WEEKNUM(A261,2))</f>
        <v/>
      </c>
      <c r="H261" s="49">
        <f>IF(A261="","",DATE(YEAR(A261),MONTH(A261),1))</f>
        <v/>
      </c>
    </row>
    <row r="262">
      <c r="A262" s="48" t="n"/>
      <c r="B262" s="44" t="n"/>
      <c r="C262" s="44" t="n"/>
      <c r="D262" s="45" t="n"/>
      <c r="E262" s="44" t="n"/>
      <c r="F262" s="23">
        <f>IF(B262="","",IFERROR(INDEX(Cat_Tipo,MATCH(B262,Lista_Categorias,0)),"Deseo"))</f>
        <v/>
      </c>
      <c r="G262" s="23">
        <f>IF(A262="","",WEEKNUM(A262,2))</f>
        <v/>
      </c>
      <c r="H262" s="49">
        <f>IF(A262="","",DATE(YEAR(A262),MONTH(A262),1))</f>
        <v/>
      </c>
    </row>
    <row r="263">
      <c r="A263" s="48" t="n"/>
      <c r="B263" s="44" t="n"/>
      <c r="C263" s="44" t="n"/>
      <c r="D263" s="45" t="n"/>
      <c r="E263" s="44" t="n"/>
      <c r="F263" s="23">
        <f>IF(B263="","",IFERROR(INDEX(Cat_Tipo,MATCH(B263,Lista_Categorias,0)),"Deseo"))</f>
        <v/>
      </c>
      <c r="G263" s="23">
        <f>IF(A263="","",WEEKNUM(A263,2))</f>
        <v/>
      </c>
      <c r="H263" s="49">
        <f>IF(A263="","",DATE(YEAR(A263),MONTH(A263),1))</f>
        <v/>
      </c>
    </row>
    <row r="264">
      <c r="A264" s="48" t="n"/>
      <c r="B264" s="44" t="n"/>
      <c r="C264" s="44" t="n"/>
      <c r="D264" s="45" t="n"/>
      <c r="E264" s="44" t="n"/>
      <c r="F264" s="23">
        <f>IF(B264="","",IFERROR(INDEX(Cat_Tipo,MATCH(B264,Lista_Categorias,0)),"Deseo"))</f>
        <v/>
      </c>
      <c r="G264" s="23">
        <f>IF(A264="","",WEEKNUM(A264,2))</f>
        <v/>
      </c>
      <c r="H264" s="49">
        <f>IF(A264="","",DATE(YEAR(A264),MONTH(A264),1))</f>
        <v/>
      </c>
    </row>
    <row r="265">
      <c r="A265" s="48" t="n"/>
      <c r="B265" s="44" t="n"/>
      <c r="C265" s="44" t="n"/>
      <c r="D265" s="45" t="n"/>
      <c r="E265" s="44" t="n"/>
      <c r="F265" s="23">
        <f>IF(B265="","",IFERROR(INDEX(Cat_Tipo,MATCH(B265,Lista_Categorias,0)),"Deseo"))</f>
        <v/>
      </c>
      <c r="G265" s="23">
        <f>IF(A265="","",WEEKNUM(A265,2))</f>
        <v/>
      </c>
      <c r="H265" s="49">
        <f>IF(A265="","",DATE(YEAR(A265),MONTH(A265),1))</f>
        <v/>
      </c>
    </row>
    <row r="266">
      <c r="A266" s="48" t="n"/>
      <c r="B266" s="44" t="n"/>
      <c r="C266" s="44" t="n"/>
      <c r="D266" s="45" t="n"/>
      <c r="E266" s="44" t="n"/>
      <c r="F266" s="23">
        <f>IF(B266="","",IFERROR(INDEX(Cat_Tipo,MATCH(B266,Lista_Categorias,0)),"Deseo"))</f>
        <v/>
      </c>
      <c r="G266" s="23">
        <f>IF(A266="","",WEEKNUM(A266,2))</f>
        <v/>
      </c>
      <c r="H266" s="49">
        <f>IF(A266="","",DATE(YEAR(A266),MONTH(A266),1))</f>
        <v/>
      </c>
    </row>
    <row r="267">
      <c r="A267" s="48" t="n"/>
      <c r="B267" s="44" t="n"/>
      <c r="C267" s="44" t="n"/>
      <c r="D267" s="45" t="n"/>
      <c r="E267" s="44" t="n"/>
      <c r="F267" s="23">
        <f>IF(B267="","",IFERROR(INDEX(Cat_Tipo,MATCH(B267,Lista_Categorias,0)),"Deseo"))</f>
        <v/>
      </c>
      <c r="G267" s="23">
        <f>IF(A267="","",WEEKNUM(A267,2))</f>
        <v/>
      </c>
      <c r="H267" s="49">
        <f>IF(A267="","",DATE(YEAR(A267),MONTH(A267),1))</f>
        <v/>
      </c>
    </row>
    <row r="268">
      <c r="A268" s="48" t="n"/>
      <c r="B268" s="44" t="n"/>
      <c r="C268" s="44" t="n"/>
      <c r="D268" s="45" t="n"/>
      <c r="E268" s="44" t="n"/>
      <c r="F268" s="23">
        <f>IF(B268="","",IFERROR(INDEX(Cat_Tipo,MATCH(B268,Lista_Categorias,0)),"Deseo"))</f>
        <v/>
      </c>
      <c r="G268" s="23">
        <f>IF(A268="","",WEEKNUM(A268,2))</f>
        <v/>
      </c>
      <c r="H268" s="49">
        <f>IF(A268="","",DATE(YEAR(A268),MONTH(A268),1))</f>
        <v/>
      </c>
    </row>
    <row r="269">
      <c r="A269" s="48" t="n"/>
      <c r="B269" s="44" t="n"/>
      <c r="C269" s="44" t="n"/>
      <c r="D269" s="45" t="n"/>
      <c r="E269" s="44" t="n"/>
      <c r="F269" s="23">
        <f>IF(B269="","",IFERROR(INDEX(Cat_Tipo,MATCH(B269,Lista_Categorias,0)),"Deseo"))</f>
        <v/>
      </c>
      <c r="G269" s="23">
        <f>IF(A269="","",WEEKNUM(A269,2))</f>
        <v/>
      </c>
      <c r="H269" s="49">
        <f>IF(A269="","",DATE(YEAR(A269),MONTH(A269),1))</f>
        <v/>
      </c>
    </row>
    <row r="270">
      <c r="A270" s="48" t="n"/>
      <c r="B270" s="44" t="n"/>
      <c r="C270" s="44" t="n"/>
      <c r="D270" s="45" t="n"/>
      <c r="E270" s="44" t="n"/>
      <c r="F270" s="23">
        <f>IF(B270="","",IFERROR(INDEX(Cat_Tipo,MATCH(B270,Lista_Categorias,0)),"Deseo"))</f>
        <v/>
      </c>
      <c r="G270" s="23">
        <f>IF(A270="","",WEEKNUM(A270,2))</f>
        <v/>
      </c>
      <c r="H270" s="49">
        <f>IF(A270="","",DATE(YEAR(A270),MONTH(A270),1))</f>
        <v/>
      </c>
    </row>
    <row r="271">
      <c r="A271" s="48" t="n"/>
      <c r="B271" s="44" t="n"/>
      <c r="C271" s="44" t="n"/>
      <c r="D271" s="45" t="n"/>
      <c r="E271" s="44" t="n"/>
      <c r="F271" s="23">
        <f>IF(B271="","",IFERROR(INDEX(Cat_Tipo,MATCH(B271,Lista_Categorias,0)),"Deseo"))</f>
        <v/>
      </c>
      <c r="G271" s="23">
        <f>IF(A271="","",WEEKNUM(A271,2))</f>
        <v/>
      </c>
      <c r="H271" s="49">
        <f>IF(A271="","",DATE(YEAR(A271),MONTH(A271),1))</f>
        <v/>
      </c>
    </row>
    <row r="272">
      <c r="A272" s="48" t="n"/>
      <c r="B272" s="44" t="n"/>
      <c r="C272" s="44" t="n"/>
      <c r="D272" s="45" t="n"/>
      <c r="E272" s="44" t="n"/>
      <c r="F272" s="23">
        <f>IF(B272="","",IFERROR(INDEX(Cat_Tipo,MATCH(B272,Lista_Categorias,0)),"Deseo"))</f>
        <v/>
      </c>
      <c r="G272" s="23">
        <f>IF(A272="","",WEEKNUM(A272,2))</f>
        <v/>
      </c>
      <c r="H272" s="49">
        <f>IF(A272="","",DATE(YEAR(A272),MONTH(A272),1))</f>
        <v/>
      </c>
    </row>
    <row r="273">
      <c r="A273" s="48" t="n"/>
      <c r="B273" s="44" t="n"/>
      <c r="C273" s="44" t="n"/>
      <c r="D273" s="45" t="n"/>
      <c r="E273" s="44" t="n"/>
      <c r="F273" s="23">
        <f>IF(B273="","",IFERROR(INDEX(Cat_Tipo,MATCH(B273,Lista_Categorias,0)),"Deseo"))</f>
        <v/>
      </c>
      <c r="G273" s="23">
        <f>IF(A273="","",WEEKNUM(A273,2))</f>
        <v/>
      </c>
      <c r="H273" s="49">
        <f>IF(A273="","",DATE(YEAR(A273),MONTH(A273),1))</f>
        <v/>
      </c>
    </row>
    <row r="274">
      <c r="A274" s="48" t="n"/>
      <c r="B274" s="44" t="n"/>
      <c r="C274" s="44" t="n"/>
      <c r="D274" s="45" t="n"/>
      <c r="E274" s="44" t="n"/>
      <c r="F274" s="23">
        <f>IF(B274="","",IFERROR(INDEX(Cat_Tipo,MATCH(B274,Lista_Categorias,0)),"Deseo"))</f>
        <v/>
      </c>
      <c r="G274" s="23">
        <f>IF(A274="","",WEEKNUM(A274,2))</f>
        <v/>
      </c>
      <c r="H274" s="49">
        <f>IF(A274="","",DATE(YEAR(A274),MONTH(A274),1))</f>
        <v/>
      </c>
    </row>
    <row r="275">
      <c r="A275" s="48" t="n"/>
      <c r="B275" s="44" t="n"/>
      <c r="C275" s="44" t="n"/>
      <c r="D275" s="45" t="n"/>
      <c r="E275" s="44" t="n"/>
      <c r="F275" s="23">
        <f>IF(B275="","",IFERROR(INDEX(Cat_Tipo,MATCH(B275,Lista_Categorias,0)),"Deseo"))</f>
        <v/>
      </c>
      <c r="G275" s="23">
        <f>IF(A275="","",WEEKNUM(A275,2))</f>
        <v/>
      </c>
      <c r="H275" s="49">
        <f>IF(A275="","",DATE(YEAR(A275),MONTH(A275),1))</f>
        <v/>
      </c>
    </row>
    <row r="276">
      <c r="A276" s="48" t="n"/>
      <c r="B276" s="44" t="n"/>
      <c r="C276" s="44" t="n"/>
      <c r="D276" s="45" t="n"/>
      <c r="E276" s="44" t="n"/>
      <c r="F276" s="23">
        <f>IF(B276="","",IFERROR(INDEX(Cat_Tipo,MATCH(B276,Lista_Categorias,0)),"Deseo"))</f>
        <v/>
      </c>
      <c r="G276" s="23">
        <f>IF(A276="","",WEEKNUM(A276,2))</f>
        <v/>
      </c>
      <c r="H276" s="49">
        <f>IF(A276="","",DATE(YEAR(A276),MONTH(A276),1))</f>
        <v/>
      </c>
    </row>
    <row r="277">
      <c r="A277" s="48" t="n"/>
      <c r="B277" s="44" t="n"/>
      <c r="C277" s="44" t="n"/>
      <c r="D277" s="45" t="n"/>
      <c r="E277" s="44" t="n"/>
      <c r="F277" s="23">
        <f>IF(B277="","",IFERROR(INDEX(Cat_Tipo,MATCH(B277,Lista_Categorias,0)),"Deseo"))</f>
        <v/>
      </c>
      <c r="G277" s="23">
        <f>IF(A277="","",WEEKNUM(A277,2))</f>
        <v/>
      </c>
      <c r="H277" s="49">
        <f>IF(A277="","",DATE(YEAR(A277),MONTH(A277),1))</f>
        <v/>
      </c>
    </row>
    <row r="278">
      <c r="A278" s="48" t="n"/>
      <c r="B278" s="44" t="n"/>
      <c r="C278" s="44" t="n"/>
      <c r="D278" s="45" t="n"/>
      <c r="E278" s="44" t="n"/>
      <c r="F278" s="23">
        <f>IF(B278="","",IFERROR(INDEX(Cat_Tipo,MATCH(B278,Lista_Categorias,0)),"Deseo"))</f>
        <v/>
      </c>
      <c r="G278" s="23">
        <f>IF(A278="","",WEEKNUM(A278,2))</f>
        <v/>
      </c>
      <c r="H278" s="49">
        <f>IF(A278="","",DATE(YEAR(A278),MONTH(A278),1))</f>
        <v/>
      </c>
    </row>
    <row r="279">
      <c r="A279" s="48" t="n"/>
      <c r="B279" s="44" t="n"/>
      <c r="C279" s="44" t="n"/>
      <c r="D279" s="45" t="n"/>
      <c r="E279" s="44" t="n"/>
      <c r="F279" s="23">
        <f>IF(B279="","",IFERROR(INDEX(Cat_Tipo,MATCH(B279,Lista_Categorias,0)),"Deseo"))</f>
        <v/>
      </c>
      <c r="G279" s="23">
        <f>IF(A279="","",WEEKNUM(A279,2))</f>
        <v/>
      </c>
      <c r="H279" s="49">
        <f>IF(A279="","",DATE(YEAR(A279),MONTH(A279),1))</f>
        <v/>
      </c>
    </row>
    <row r="280">
      <c r="A280" s="48" t="n"/>
      <c r="B280" s="44" t="n"/>
      <c r="C280" s="44" t="n"/>
      <c r="D280" s="45" t="n"/>
      <c r="E280" s="44" t="n"/>
      <c r="F280" s="23">
        <f>IF(B280="","",IFERROR(INDEX(Cat_Tipo,MATCH(B280,Lista_Categorias,0)),"Deseo"))</f>
        <v/>
      </c>
      <c r="G280" s="23">
        <f>IF(A280="","",WEEKNUM(A280,2))</f>
        <v/>
      </c>
      <c r="H280" s="49">
        <f>IF(A280="","",DATE(YEAR(A280),MONTH(A280),1))</f>
        <v/>
      </c>
    </row>
    <row r="281">
      <c r="A281" s="48" t="n"/>
      <c r="B281" s="44" t="n"/>
      <c r="C281" s="44" t="n"/>
      <c r="D281" s="45" t="n"/>
      <c r="E281" s="44" t="n"/>
      <c r="F281" s="23">
        <f>IF(B281="","",IFERROR(INDEX(Cat_Tipo,MATCH(B281,Lista_Categorias,0)),"Deseo"))</f>
        <v/>
      </c>
      <c r="G281" s="23">
        <f>IF(A281="","",WEEKNUM(A281,2))</f>
        <v/>
      </c>
      <c r="H281" s="49">
        <f>IF(A281="","",DATE(YEAR(A281),MONTH(A281),1))</f>
        <v/>
      </c>
    </row>
    <row r="282">
      <c r="A282" s="48" t="n"/>
      <c r="B282" s="44" t="n"/>
      <c r="C282" s="44" t="n"/>
      <c r="D282" s="45" t="n"/>
      <c r="E282" s="44" t="n"/>
      <c r="F282" s="23">
        <f>IF(B282="","",IFERROR(INDEX(Cat_Tipo,MATCH(B282,Lista_Categorias,0)),"Deseo"))</f>
        <v/>
      </c>
      <c r="G282" s="23">
        <f>IF(A282="","",WEEKNUM(A282,2))</f>
        <v/>
      </c>
      <c r="H282" s="49">
        <f>IF(A282="","",DATE(YEAR(A282),MONTH(A282),1))</f>
        <v/>
      </c>
    </row>
    <row r="283">
      <c r="A283" s="48" t="n"/>
      <c r="B283" s="44" t="n"/>
      <c r="C283" s="44" t="n"/>
      <c r="D283" s="45" t="n"/>
      <c r="E283" s="44" t="n"/>
      <c r="F283" s="23">
        <f>IF(B283="","",IFERROR(INDEX(Cat_Tipo,MATCH(B283,Lista_Categorias,0)),"Deseo"))</f>
        <v/>
      </c>
      <c r="G283" s="23">
        <f>IF(A283="","",WEEKNUM(A283,2))</f>
        <v/>
      </c>
      <c r="H283" s="49">
        <f>IF(A283="","",DATE(YEAR(A283),MONTH(A283),1))</f>
        <v/>
      </c>
    </row>
    <row r="284">
      <c r="A284" s="48" t="n"/>
      <c r="B284" s="44" t="n"/>
      <c r="C284" s="44" t="n"/>
      <c r="D284" s="45" t="n"/>
      <c r="E284" s="44" t="n"/>
      <c r="F284" s="23">
        <f>IF(B284="","",IFERROR(INDEX(Cat_Tipo,MATCH(B284,Lista_Categorias,0)),"Deseo"))</f>
        <v/>
      </c>
      <c r="G284" s="23">
        <f>IF(A284="","",WEEKNUM(A284,2))</f>
        <v/>
      </c>
      <c r="H284" s="49">
        <f>IF(A284="","",DATE(YEAR(A284),MONTH(A284),1))</f>
        <v/>
      </c>
    </row>
    <row r="285">
      <c r="A285" s="48" t="n"/>
      <c r="B285" s="44" t="n"/>
      <c r="C285" s="44" t="n"/>
      <c r="D285" s="45" t="n"/>
      <c r="E285" s="44" t="n"/>
      <c r="F285" s="23">
        <f>IF(B285="","",IFERROR(INDEX(Cat_Tipo,MATCH(B285,Lista_Categorias,0)),"Deseo"))</f>
        <v/>
      </c>
      <c r="G285" s="23">
        <f>IF(A285="","",WEEKNUM(A285,2))</f>
        <v/>
      </c>
      <c r="H285" s="49">
        <f>IF(A285="","",DATE(YEAR(A285),MONTH(A285),1))</f>
        <v/>
      </c>
    </row>
    <row r="286">
      <c r="A286" s="48" t="n"/>
      <c r="B286" s="44" t="n"/>
      <c r="C286" s="44" t="n"/>
      <c r="D286" s="45" t="n"/>
      <c r="E286" s="44" t="n"/>
      <c r="F286" s="23">
        <f>IF(B286="","",IFERROR(INDEX(Cat_Tipo,MATCH(B286,Lista_Categorias,0)),"Deseo"))</f>
        <v/>
      </c>
      <c r="G286" s="23">
        <f>IF(A286="","",WEEKNUM(A286,2))</f>
        <v/>
      </c>
      <c r="H286" s="49">
        <f>IF(A286="","",DATE(YEAR(A286),MONTH(A286),1))</f>
        <v/>
      </c>
    </row>
    <row r="287">
      <c r="A287" s="48" t="n"/>
      <c r="B287" s="44" t="n"/>
      <c r="C287" s="44" t="n"/>
      <c r="D287" s="45" t="n"/>
      <c r="E287" s="44" t="n"/>
      <c r="F287" s="23">
        <f>IF(B287="","",IFERROR(INDEX(Cat_Tipo,MATCH(B287,Lista_Categorias,0)),"Deseo"))</f>
        <v/>
      </c>
      <c r="G287" s="23">
        <f>IF(A287="","",WEEKNUM(A287,2))</f>
        <v/>
      </c>
      <c r="H287" s="49">
        <f>IF(A287="","",DATE(YEAR(A287),MONTH(A287),1))</f>
        <v/>
      </c>
    </row>
    <row r="288">
      <c r="A288" s="48" t="n"/>
      <c r="B288" s="44" t="n"/>
      <c r="C288" s="44" t="n"/>
      <c r="D288" s="45" t="n"/>
      <c r="E288" s="44" t="n"/>
      <c r="F288" s="23">
        <f>IF(B288="","",IFERROR(INDEX(Cat_Tipo,MATCH(B288,Lista_Categorias,0)),"Deseo"))</f>
        <v/>
      </c>
      <c r="G288" s="23">
        <f>IF(A288="","",WEEKNUM(A288,2))</f>
        <v/>
      </c>
      <c r="H288" s="49">
        <f>IF(A288="","",DATE(YEAR(A288),MONTH(A288),1))</f>
        <v/>
      </c>
    </row>
    <row r="289">
      <c r="A289" s="48" t="n"/>
      <c r="B289" s="44" t="n"/>
      <c r="C289" s="44" t="n"/>
      <c r="D289" s="45" t="n"/>
      <c r="E289" s="44" t="n"/>
      <c r="F289" s="23">
        <f>IF(B289="","",IFERROR(INDEX(Cat_Tipo,MATCH(B289,Lista_Categorias,0)),"Deseo"))</f>
        <v/>
      </c>
      <c r="G289" s="23">
        <f>IF(A289="","",WEEKNUM(A289,2))</f>
        <v/>
      </c>
      <c r="H289" s="49">
        <f>IF(A289="","",DATE(YEAR(A289),MONTH(A289),1))</f>
        <v/>
      </c>
    </row>
    <row r="290">
      <c r="A290" s="48" t="n"/>
      <c r="B290" s="44" t="n"/>
      <c r="C290" s="44" t="n"/>
      <c r="D290" s="45" t="n"/>
      <c r="E290" s="44" t="n"/>
      <c r="F290" s="23">
        <f>IF(B290="","",IFERROR(INDEX(Cat_Tipo,MATCH(B290,Lista_Categorias,0)),"Deseo"))</f>
        <v/>
      </c>
      <c r="G290" s="23">
        <f>IF(A290="","",WEEKNUM(A290,2))</f>
        <v/>
      </c>
      <c r="H290" s="49">
        <f>IF(A290="","",DATE(YEAR(A290),MONTH(A290),1))</f>
        <v/>
      </c>
    </row>
    <row r="291">
      <c r="A291" s="48" t="n"/>
      <c r="B291" s="44" t="n"/>
      <c r="C291" s="44" t="n"/>
      <c r="D291" s="45" t="n"/>
      <c r="E291" s="44" t="n"/>
      <c r="F291" s="23">
        <f>IF(B291="","",IFERROR(INDEX(Cat_Tipo,MATCH(B291,Lista_Categorias,0)),"Deseo"))</f>
        <v/>
      </c>
      <c r="G291" s="23">
        <f>IF(A291="","",WEEKNUM(A291,2))</f>
        <v/>
      </c>
      <c r="H291" s="49">
        <f>IF(A291="","",DATE(YEAR(A291),MONTH(A291),1))</f>
        <v/>
      </c>
    </row>
    <row r="292">
      <c r="A292" s="48" t="n"/>
      <c r="B292" s="44" t="n"/>
      <c r="C292" s="44" t="n"/>
      <c r="D292" s="45" t="n"/>
      <c r="E292" s="44" t="n"/>
      <c r="F292" s="23">
        <f>IF(B292="","",IFERROR(INDEX(Cat_Tipo,MATCH(B292,Lista_Categorias,0)),"Deseo"))</f>
        <v/>
      </c>
      <c r="G292" s="23">
        <f>IF(A292="","",WEEKNUM(A292,2))</f>
        <v/>
      </c>
      <c r="H292" s="49">
        <f>IF(A292="","",DATE(YEAR(A292),MONTH(A292),1))</f>
        <v/>
      </c>
    </row>
    <row r="293">
      <c r="A293" s="48" t="n"/>
      <c r="B293" s="44" t="n"/>
      <c r="C293" s="44" t="n"/>
      <c r="D293" s="45" t="n"/>
      <c r="E293" s="44" t="n"/>
      <c r="F293" s="23">
        <f>IF(B293="","",IFERROR(INDEX(Cat_Tipo,MATCH(B293,Lista_Categorias,0)),"Deseo"))</f>
        <v/>
      </c>
      <c r="G293" s="23">
        <f>IF(A293="","",WEEKNUM(A293,2))</f>
        <v/>
      </c>
      <c r="H293" s="49">
        <f>IF(A293="","",DATE(YEAR(A293),MONTH(A293),1))</f>
        <v/>
      </c>
    </row>
    <row r="294">
      <c r="A294" s="48" t="n"/>
      <c r="B294" s="44" t="n"/>
      <c r="C294" s="44" t="n"/>
      <c r="D294" s="45" t="n"/>
      <c r="E294" s="44" t="n"/>
      <c r="F294" s="23">
        <f>IF(B294="","",IFERROR(INDEX(Cat_Tipo,MATCH(B294,Lista_Categorias,0)),"Deseo"))</f>
        <v/>
      </c>
      <c r="G294" s="23">
        <f>IF(A294="","",WEEKNUM(A294,2))</f>
        <v/>
      </c>
      <c r="H294" s="49">
        <f>IF(A294="","",DATE(YEAR(A294),MONTH(A294),1))</f>
        <v/>
      </c>
    </row>
    <row r="295">
      <c r="A295" s="48" t="n"/>
      <c r="B295" s="44" t="n"/>
      <c r="C295" s="44" t="n"/>
      <c r="D295" s="45" t="n"/>
      <c r="E295" s="44" t="n"/>
      <c r="F295" s="23">
        <f>IF(B295="","",IFERROR(INDEX(Cat_Tipo,MATCH(B295,Lista_Categorias,0)),"Deseo"))</f>
        <v/>
      </c>
      <c r="G295" s="23">
        <f>IF(A295="","",WEEKNUM(A295,2))</f>
        <v/>
      </c>
      <c r="H295" s="49">
        <f>IF(A295="","",DATE(YEAR(A295),MONTH(A295),1))</f>
        <v/>
      </c>
    </row>
    <row r="296">
      <c r="A296" s="48" t="n"/>
      <c r="B296" s="44" t="n"/>
      <c r="C296" s="44" t="n"/>
      <c r="D296" s="45" t="n"/>
      <c r="E296" s="44" t="n"/>
      <c r="F296" s="23">
        <f>IF(B296="","",IFERROR(INDEX(Cat_Tipo,MATCH(B296,Lista_Categorias,0)),"Deseo"))</f>
        <v/>
      </c>
      <c r="G296" s="23">
        <f>IF(A296="","",WEEKNUM(A296,2))</f>
        <v/>
      </c>
      <c r="H296" s="49">
        <f>IF(A296="","",DATE(YEAR(A296),MONTH(A296),1))</f>
        <v/>
      </c>
    </row>
    <row r="297">
      <c r="A297" s="48" t="n"/>
      <c r="B297" s="44" t="n"/>
      <c r="C297" s="44" t="n"/>
      <c r="D297" s="45" t="n"/>
      <c r="E297" s="44" t="n"/>
      <c r="F297" s="23">
        <f>IF(B297="","",IFERROR(INDEX(Cat_Tipo,MATCH(B297,Lista_Categorias,0)),"Deseo"))</f>
        <v/>
      </c>
      <c r="G297" s="23">
        <f>IF(A297="","",WEEKNUM(A297,2))</f>
        <v/>
      </c>
      <c r="H297" s="49">
        <f>IF(A297="","",DATE(YEAR(A297),MONTH(A297),1))</f>
        <v/>
      </c>
    </row>
    <row r="298">
      <c r="A298" s="48" t="n"/>
      <c r="B298" s="44" t="n"/>
      <c r="C298" s="44" t="n"/>
      <c r="D298" s="45" t="n"/>
      <c r="E298" s="44" t="n"/>
      <c r="F298" s="23">
        <f>IF(B298="","",IFERROR(INDEX(Cat_Tipo,MATCH(B298,Lista_Categorias,0)),"Deseo"))</f>
        <v/>
      </c>
      <c r="G298" s="23">
        <f>IF(A298="","",WEEKNUM(A298,2))</f>
        <v/>
      </c>
      <c r="H298" s="49">
        <f>IF(A298="","",DATE(YEAR(A298),MONTH(A298),1))</f>
        <v/>
      </c>
    </row>
    <row r="299">
      <c r="A299" s="48" t="n"/>
      <c r="B299" s="44" t="n"/>
      <c r="C299" s="44" t="n"/>
      <c r="D299" s="45" t="n"/>
      <c r="E299" s="44" t="n"/>
      <c r="F299" s="23">
        <f>IF(B299="","",IFERROR(INDEX(Cat_Tipo,MATCH(B299,Lista_Categorias,0)),"Deseo"))</f>
        <v/>
      </c>
      <c r="G299" s="23">
        <f>IF(A299="","",WEEKNUM(A299,2))</f>
        <v/>
      </c>
      <c r="H299" s="49">
        <f>IF(A299="","",DATE(YEAR(A299),MONTH(A299),1))</f>
        <v/>
      </c>
    </row>
    <row r="300">
      <c r="A300" s="48" t="n"/>
      <c r="B300" s="44" t="n"/>
      <c r="C300" s="44" t="n"/>
      <c r="D300" s="45" t="n"/>
      <c r="E300" s="44" t="n"/>
      <c r="F300" s="23">
        <f>IF(B300="","",IFERROR(INDEX(Cat_Tipo,MATCH(B300,Lista_Categorias,0)),"Deseo"))</f>
        <v/>
      </c>
      <c r="G300" s="23">
        <f>IF(A300="","",WEEKNUM(A300,2))</f>
        <v/>
      </c>
      <c r="H300" s="49">
        <f>IF(A300="","",DATE(YEAR(A300),MONTH(A300),1))</f>
        <v/>
      </c>
    </row>
    <row r="301">
      <c r="A301" s="48" t="n"/>
      <c r="B301" s="44" t="n"/>
      <c r="C301" s="44" t="n"/>
      <c r="D301" s="45" t="n"/>
      <c r="E301" s="44" t="n"/>
      <c r="F301" s="23">
        <f>IF(B301="","",IFERROR(INDEX(Cat_Tipo,MATCH(B301,Lista_Categorias,0)),"Deseo"))</f>
        <v/>
      </c>
      <c r="G301" s="23">
        <f>IF(A301="","",WEEKNUM(A301,2))</f>
        <v/>
      </c>
      <c r="H301" s="49">
        <f>IF(A301="","",DATE(YEAR(A301),MONTH(A301),1))</f>
        <v/>
      </c>
    </row>
    <row r="302">
      <c r="A302" s="48" t="n"/>
      <c r="B302" s="44" t="n"/>
      <c r="C302" s="44" t="n"/>
      <c r="D302" s="45" t="n"/>
      <c r="E302" s="44" t="n"/>
      <c r="F302" s="23">
        <f>IF(B302="","",IFERROR(INDEX(Cat_Tipo,MATCH(B302,Lista_Categorias,0)),"Deseo"))</f>
        <v/>
      </c>
      <c r="G302" s="23">
        <f>IF(A302="","",WEEKNUM(A302,2))</f>
        <v/>
      </c>
      <c r="H302" s="49">
        <f>IF(A302="","",DATE(YEAR(A302),MONTH(A302),1))</f>
        <v/>
      </c>
    </row>
    <row r="303">
      <c r="A303" s="48" t="n"/>
      <c r="B303" s="44" t="n"/>
      <c r="C303" s="44" t="n"/>
      <c r="D303" s="45" t="n"/>
      <c r="E303" s="44" t="n"/>
      <c r="F303" s="23">
        <f>IF(B303="","",IFERROR(INDEX(Cat_Tipo,MATCH(B303,Lista_Categorias,0)),"Deseo"))</f>
        <v/>
      </c>
      <c r="G303" s="23">
        <f>IF(A303="","",WEEKNUM(A303,2))</f>
        <v/>
      </c>
      <c r="H303" s="49">
        <f>IF(A303="","",DATE(YEAR(A303),MONTH(A303),1))</f>
        <v/>
      </c>
    </row>
    <row r="304">
      <c r="A304" s="48" t="n"/>
      <c r="B304" s="44" t="n"/>
      <c r="C304" s="44" t="n"/>
      <c r="D304" s="45" t="n"/>
      <c r="E304" s="44" t="n"/>
      <c r="F304" s="23">
        <f>IF(B304="","",IFERROR(INDEX(Cat_Tipo,MATCH(B304,Lista_Categorias,0)),"Deseo"))</f>
        <v/>
      </c>
      <c r="G304" s="23">
        <f>IF(A304="","",WEEKNUM(A304,2))</f>
        <v/>
      </c>
      <c r="H304" s="49">
        <f>IF(A304="","",DATE(YEAR(A304),MONTH(A304),1))</f>
        <v/>
      </c>
    </row>
    <row r="305">
      <c r="A305" s="48" t="n"/>
      <c r="B305" s="44" t="n"/>
      <c r="C305" s="44" t="n"/>
      <c r="D305" s="45" t="n"/>
      <c r="E305" s="44" t="n"/>
      <c r="F305" s="23">
        <f>IF(B305="","",IFERROR(INDEX(Cat_Tipo,MATCH(B305,Lista_Categorias,0)),"Deseo"))</f>
        <v/>
      </c>
      <c r="G305" s="23">
        <f>IF(A305="","",WEEKNUM(A305,2))</f>
        <v/>
      </c>
      <c r="H305" s="49">
        <f>IF(A305="","",DATE(YEAR(A305),MONTH(A305),1))</f>
        <v/>
      </c>
    </row>
    <row r="306">
      <c r="A306" s="48" t="n"/>
      <c r="B306" s="44" t="n"/>
      <c r="C306" s="44" t="n"/>
      <c r="D306" s="45" t="n"/>
      <c r="E306" s="44" t="n"/>
      <c r="F306" s="23">
        <f>IF(B306="","",IFERROR(INDEX(Cat_Tipo,MATCH(B306,Lista_Categorias,0)),"Deseo"))</f>
        <v/>
      </c>
      <c r="G306" s="23">
        <f>IF(A306="","",WEEKNUM(A306,2))</f>
        <v/>
      </c>
      <c r="H306" s="49">
        <f>IF(A306="","",DATE(YEAR(A306),MONTH(A306),1))</f>
        <v/>
      </c>
    </row>
    <row r="307">
      <c r="A307" s="48" t="n"/>
      <c r="B307" s="44" t="n"/>
      <c r="C307" s="44" t="n"/>
      <c r="D307" s="45" t="n"/>
      <c r="E307" s="44" t="n"/>
      <c r="F307" s="23">
        <f>IF(B307="","",IFERROR(INDEX(Cat_Tipo,MATCH(B307,Lista_Categorias,0)),"Deseo"))</f>
        <v/>
      </c>
      <c r="G307" s="23">
        <f>IF(A307="","",WEEKNUM(A307,2))</f>
        <v/>
      </c>
      <c r="H307" s="49">
        <f>IF(A307="","",DATE(YEAR(A307),MONTH(A307),1))</f>
        <v/>
      </c>
    </row>
    <row r="308">
      <c r="A308" s="48" t="n"/>
      <c r="B308" s="44" t="n"/>
      <c r="C308" s="44" t="n"/>
      <c r="D308" s="45" t="n"/>
      <c r="E308" s="44" t="n"/>
      <c r="F308" s="23">
        <f>IF(B308="","",IFERROR(INDEX(Cat_Tipo,MATCH(B308,Lista_Categorias,0)),"Deseo"))</f>
        <v/>
      </c>
      <c r="G308" s="23">
        <f>IF(A308="","",WEEKNUM(A308,2))</f>
        <v/>
      </c>
      <c r="H308" s="49">
        <f>IF(A308="","",DATE(YEAR(A308),MONTH(A308),1))</f>
        <v/>
      </c>
    </row>
    <row r="309">
      <c r="A309" s="48" t="n"/>
      <c r="B309" s="44" t="n"/>
      <c r="C309" s="44" t="n"/>
      <c r="D309" s="45" t="n"/>
      <c r="E309" s="44" t="n"/>
      <c r="F309" s="23">
        <f>IF(B309="","",IFERROR(INDEX(Cat_Tipo,MATCH(B309,Lista_Categorias,0)),"Deseo"))</f>
        <v/>
      </c>
      <c r="G309" s="23">
        <f>IF(A309="","",WEEKNUM(A309,2))</f>
        <v/>
      </c>
      <c r="H309" s="49">
        <f>IF(A309="","",DATE(YEAR(A309),MONTH(A309),1))</f>
        <v/>
      </c>
    </row>
    <row r="310">
      <c r="A310" s="48" t="n"/>
      <c r="B310" s="44" t="n"/>
      <c r="C310" s="44" t="n"/>
      <c r="D310" s="45" t="n"/>
      <c r="E310" s="44" t="n"/>
      <c r="F310" s="23">
        <f>IF(B310="","",IFERROR(INDEX(Cat_Tipo,MATCH(B310,Lista_Categorias,0)),"Deseo"))</f>
        <v/>
      </c>
      <c r="G310" s="23">
        <f>IF(A310="","",WEEKNUM(A310,2))</f>
        <v/>
      </c>
      <c r="H310" s="49">
        <f>IF(A310="","",DATE(YEAR(A310),MONTH(A310),1))</f>
        <v/>
      </c>
    </row>
    <row r="311">
      <c r="A311" s="48" t="n"/>
      <c r="B311" s="44" t="n"/>
      <c r="C311" s="44" t="n"/>
      <c r="D311" s="45" t="n"/>
      <c r="E311" s="44" t="n"/>
      <c r="F311" s="23">
        <f>IF(B311="","",IFERROR(INDEX(Cat_Tipo,MATCH(B311,Lista_Categorias,0)),"Deseo"))</f>
        <v/>
      </c>
      <c r="G311" s="23">
        <f>IF(A311="","",WEEKNUM(A311,2))</f>
        <v/>
      </c>
      <c r="H311" s="49">
        <f>IF(A311="","",DATE(YEAR(A311),MONTH(A311),1))</f>
        <v/>
      </c>
    </row>
    <row r="312">
      <c r="A312" s="48" t="n"/>
      <c r="B312" s="44" t="n"/>
      <c r="C312" s="44" t="n"/>
      <c r="D312" s="45" t="n"/>
      <c r="E312" s="44" t="n"/>
      <c r="F312" s="23">
        <f>IF(B312="","",IFERROR(INDEX(Cat_Tipo,MATCH(B312,Lista_Categorias,0)),"Deseo"))</f>
        <v/>
      </c>
      <c r="G312" s="23">
        <f>IF(A312="","",WEEKNUM(A312,2))</f>
        <v/>
      </c>
      <c r="H312" s="49">
        <f>IF(A312="","",DATE(YEAR(A312),MONTH(A312),1))</f>
        <v/>
      </c>
    </row>
    <row r="313">
      <c r="A313" s="48" t="n"/>
      <c r="B313" s="44" t="n"/>
      <c r="C313" s="44" t="n"/>
      <c r="D313" s="45" t="n"/>
      <c r="E313" s="44" t="n"/>
      <c r="F313" s="23">
        <f>IF(B313="","",IFERROR(INDEX(Cat_Tipo,MATCH(B313,Lista_Categorias,0)),"Deseo"))</f>
        <v/>
      </c>
      <c r="G313" s="23">
        <f>IF(A313="","",WEEKNUM(A313,2))</f>
        <v/>
      </c>
      <c r="H313" s="49">
        <f>IF(A313="","",DATE(YEAR(A313),MONTH(A313),1))</f>
        <v/>
      </c>
    </row>
    <row r="314">
      <c r="A314" s="48" t="n"/>
      <c r="B314" s="44" t="n"/>
      <c r="C314" s="44" t="n"/>
      <c r="D314" s="45" t="n"/>
      <c r="E314" s="44" t="n"/>
      <c r="F314" s="23">
        <f>IF(B314="","",IFERROR(INDEX(Cat_Tipo,MATCH(B314,Lista_Categorias,0)),"Deseo"))</f>
        <v/>
      </c>
      <c r="G314" s="23">
        <f>IF(A314="","",WEEKNUM(A314,2))</f>
        <v/>
      </c>
      <c r="H314" s="49">
        <f>IF(A314="","",DATE(YEAR(A314),MONTH(A314),1))</f>
        <v/>
      </c>
    </row>
    <row r="315">
      <c r="A315" s="48" t="n"/>
      <c r="B315" s="44" t="n"/>
      <c r="C315" s="44" t="n"/>
      <c r="D315" s="45" t="n"/>
      <c r="E315" s="44" t="n"/>
      <c r="F315" s="23">
        <f>IF(B315="","",IFERROR(INDEX(Cat_Tipo,MATCH(B315,Lista_Categorias,0)),"Deseo"))</f>
        <v/>
      </c>
      <c r="G315" s="23">
        <f>IF(A315="","",WEEKNUM(A315,2))</f>
        <v/>
      </c>
      <c r="H315" s="49">
        <f>IF(A315="","",DATE(YEAR(A315),MONTH(A315),1))</f>
        <v/>
      </c>
    </row>
    <row r="316">
      <c r="A316" s="48" t="n"/>
      <c r="B316" s="44" t="n"/>
      <c r="C316" s="44" t="n"/>
      <c r="D316" s="45" t="n"/>
      <c r="E316" s="44" t="n"/>
      <c r="F316" s="23">
        <f>IF(B316="","",IFERROR(INDEX(Cat_Tipo,MATCH(B316,Lista_Categorias,0)),"Deseo"))</f>
        <v/>
      </c>
      <c r="G316" s="23">
        <f>IF(A316="","",WEEKNUM(A316,2))</f>
        <v/>
      </c>
      <c r="H316" s="49">
        <f>IF(A316="","",DATE(YEAR(A316),MONTH(A316),1))</f>
        <v/>
      </c>
    </row>
    <row r="317">
      <c r="A317" s="48" t="n"/>
      <c r="B317" s="44" t="n"/>
      <c r="C317" s="44" t="n"/>
      <c r="D317" s="45" t="n"/>
      <c r="E317" s="44" t="n"/>
      <c r="F317" s="23">
        <f>IF(B317="","",IFERROR(INDEX(Cat_Tipo,MATCH(B317,Lista_Categorias,0)),"Deseo"))</f>
        <v/>
      </c>
      <c r="G317" s="23">
        <f>IF(A317="","",WEEKNUM(A317,2))</f>
        <v/>
      </c>
      <c r="H317" s="49">
        <f>IF(A317="","",DATE(YEAR(A317),MONTH(A317),1))</f>
        <v/>
      </c>
    </row>
    <row r="318">
      <c r="A318" s="48" t="n"/>
      <c r="B318" s="44" t="n"/>
      <c r="C318" s="44" t="n"/>
      <c r="D318" s="45" t="n"/>
      <c r="E318" s="44" t="n"/>
      <c r="F318" s="23">
        <f>IF(B318="","",IFERROR(INDEX(Cat_Tipo,MATCH(B318,Lista_Categorias,0)),"Deseo"))</f>
        <v/>
      </c>
      <c r="G318" s="23">
        <f>IF(A318="","",WEEKNUM(A318,2))</f>
        <v/>
      </c>
      <c r="H318" s="49">
        <f>IF(A318="","",DATE(YEAR(A318),MONTH(A318),1))</f>
        <v/>
      </c>
    </row>
    <row r="319">
      <c r="A319" s="48" t="n"/>
      <c r="B319" s="44" t="n"/>
      <c r="C319" s="44" t="n"/>
      <c r="D319" s="45" t="n"/>
      <c r="E319" s="44" t="n"/>
      <c r="F319" s="23">
        <f>IF(B319="","",IFERROR(INDEX(Cat_Tipo,MATCH(B319,Lista_Categorias,0)),"Deseo"))</f>
        <v/>
      </c>
      <c r="G319" s="23">
        <f>IF(A319="","",WEEKNUM(A319,2))</f>
        <v/>
      </c>
      <c r="H319" s="49">
        <f>IF(A319="","",DATE(YEAR(A319),MONTH(A319),1))</f>
        <v/>
      </c>
    </row>
    <row r="320">
      <c r="A320" s="48" t="n"/>
      <c r="B320" s="44" t="n"/>
      <c r="C320" s="44" t="n"/>
      <c r="D320" s="45" t="n"/>
      <c r="E320" s="44" t="n"/>
      <c r="F320" s="23">
        <f>IF(B320="","",IFERROR(INDEX(Cat_Tipo,MATCH(B320,Lista_Categorias,0)),"Deseo"))</f>
        <v/>
      </c>
      <c r="G320" s="23">
        <f>IF(A320="","",WEEKNUM(A320,2))</f>
        <v/>
      </c>
      <c r="H320" s="49">
        <f>IF(A320="","",DATE(YEAR(A320),MONTH(A320),1))</f>
        <v/>
      </c>
    </row>
    <row r="321">
      <c r="A321" s="48" t="n"/>
      <c r="B321" s="44" t="n"/>
      <c r="C321" s="44" t="n"/>
      <c r="D321" s="45" t="n"/>
      <c r="E321" s="44" t="n"/>
      <c r="F321" s="23">
        <f>IF(B321="","",IFERROR(INDEX(Cat_Tipo,MATCH(B321,Lista_Categorias,0)),"Deseo"))</f>
        <v/>
      </c>
      <c r="G321" s="23">
        <f>IF(A321="","",WEEKNUM(A321,2))</f>
        <v/>
      </c>
      <c r="H321" s="49">
        <f>IF(A321="","",DATE(YEAR(A321),MONTH(A321),1))</f>
        <v/>
      </c>
    </row>
    <row r="322">
      <c r="A322" s="48" t="n"/>
      <c r="B322" s="44" t="n"/>
      <c r="C322" s="44" t="n"/>
      <c r="D322" s="45" t="n"/>
      <c r="E322" s="44" t="n"/>
      <c r="F322" s="23">
        <f>IF(B322="","",IFERROR(INDEX(Cat_Tipo,MATCH(B322,Lista_Categorias,0)),"Deseo"))</f>
        <v/>
      </c>
      <c r="G322" s="23">
        <f>IF(A322="","",WEEKNUM(A322,2))</f>
        <v/>
      </c>
      <c r="H322" s="49">
        <f>IF(A322="","",DATE(YEAR(A322),MONTH(A322),1))</f>
        <v/>
      </c>
    </row>
    <row r="323">
      <c r="A323" s="48" t="n"/>
      <c r="B323" s="44" t="n"/>
      <c r="C323" s="44" t="n"/>
      <c r="D323" s="45" t="n"/>
      <c r="E323" s="44" t="n"/>
      <c r="F323" s="23">
        <f>IF(B323="","",IFERROR(INDEX(Cat_Tipo,MATCH(B323,Lista_Categorias,0)),"Deseo"))</f>
        <v/>
      </c>
      <c r="G323" s="23">
        <f>IF(A323="","",WEEKNUM(A323,2))</f>
        <v/>
      </c>
      <c r="H323" s="49">
        <f>IF(A323="","",DATE(YEAR(A323),MONTH(A323),1))</f>
        <v/>
      </c>
    </row>
    <row r="324">
      <c r="A324" s="48" t="n"/>
      <c r="B324" s="44" t="n"/>
      <c r="C324" s="44" t="n"/>
      <c r="D324" s="45" t="n"/>
      <c r="E324" s="44" t="n"/>
      <c r="F324" s="23">
        <f>IF(B324="","",IFERROR(INDEX(Cat_Tipo,MATCH(B324,Lista_Categorias,0)),"Deseo"))</f>
        <v/>
      </c>
      <c r="G324" s="23">
        <f>IF(A324="","",WEEKNUM(A324,2))</f>
        <v/>
      </c>
      <c r="H324" s="49">
        <f>IF(A324="","",DATE(YEAR(A324),MONTH(A324),1))</f>
        <v/>
      </c>
    </row>
    <row r="325">
      <c r="A325" s="48" t="n"/>
      <c r="B325" s="44" t="n"/>
      <c r="C325" s="44" t="n"/>
      <c r="D325" s="45" t="n"/>
      <c r="E325" s="44" t="n"/>
      <c r="F325" s="23">
        <f>IF(B325="","",IFERROR(INDEX(Cat_Tipo,MATCH(B325,Lista_Categorias,0)),"Deseo"))</f>
        <v/>
      </c>
      <c r="G325" s="23">
        <f>IF(A325="","",WEEKNUM(A325,2))</f>
        <v/>
      </c>
      <c r="H325" s="49">
        <f>IF(A325="","",DATE(YEAR(A325),MONTH(A325),1))</f>
        <v/>
      </c>
    </row>
    <row r="326">
      <c r="A326" s="48" t="n"/>
      <c r="B326" s="44" t="n"/>
      <c r="C326" s="44" t="n"/>
      <c r="D326" s="45" t="n"/>
      <c r="E326" s="44" t="n"/>
      <c r="F326" s="23">
        <f>IF(B326="","",IFERROR(INDEX(Cat_Tipo,MATCH(B326,Lista_Categorias,0)),"Deseo"))</f>
        <v/>
      </c>
      <c r="G326" s="23">
        <f>IF(A326="","",WEEKNUM(A326,2))</f>
        <v/>
      </c>
      <c r="H326" s="49">
        <f>IF(A326="","",DATE(YEAR(A326),MONTH(A326),1))</f>
        <v/>
      </c>
    </row>
    <row r="327">
      <c r="A327" s="48" t="n"/>
      <c r="B327" s="44" t="n"/>
      <c r="C327" s="44" t="n"/>
      <c r="D327" s="45" t="n"/>
      <c r="E327" s="44" t="n"/>
      <c r="F327" s="23">
        <f>IF(B327="","",IFERROR(INDEX(Cat_Tipo,MATCH(B327,Lista_Categorias,0)),"Deseo"))</f>
        <v/>
      </c>
      <c r="G327" s="23">
        <f>IF(A327="","",WEEKNUM(A327,2))</f>
        <v/>
      </c>
      <c r="H327" s="49">
        <f>IF(A327="","",DATE(YEAR(A327),MONTH(A327),1))</f>
        <v/>
      </c>
    </row>
    <row r="328">
      <c r="A328" s="48" t="n"/>
      <c r="B328" s="44" t="n"/>
      <c r="C328" s="44" t="n"/>
      <c r="D328" s="45" t="n"/>
      <c r="E328" s="44" t="n"/>
      <c r="F328" s="23">
        <f>IF(B328="","",IFERROR(INDEX(Cat_Tipo,MATCH(B328,Lista_Categorias,0)),"Deseo"))</f>
        <v/>
      </c>
      <c r="G328" s="23">
        <f>IF(A328="","",WEEKNUM(A328,2))</f>
        <v/>
      </c>
      <c r="H328" s="49">
        <f>IF(A328="","",DATE(YEAR(A328),MONTH(A328),1))</f>
        <v/>
      </c>
    </row>
    <row r="329">
      <c r="A329" s="48" t="n"/>
      <c r="B329" s="44" t="n"/>
      <c r="C329" s="44" t="n"/>
      <c r="D329" s="45" t="n"/>
      <c r="E329" s="44" t="n"/>
      <c r="F329" s="23">
        <f>IF(B329="","",IFERROR(INDEX(Cat_Tipo,MATCH(B329,Lista_Categorias,0)),"Deseo"))</f>
        <v/>
      </c>
      <c r="G329" s="23">
        <f>IF(A329="","",WEEKNUM(A329,2))</f>
        <v/>
      </c>
      <c r="H329" s="49">
        <f>IF(A329="","",DATE(YEAR(A329),MONTH(A329),1))</f>
        <v/>
      </c>
    </row>
    <row r="330">
      <c r="A330" s="48" t="n"/>
      <c r="B330" s="44" t="n"/>
      <c r="C330" s="44" t="n"/>
      <c r="D330" s="45" t="n"/>
      <c r="E330" s="44" t="n"/>
      <c r="F330" s="23">
        <f>IF(B330="","",IFERROR(INDEX(Cat_Tipo,MATCH(B330,Lista_Categorias,0)),"Deseo"))</f>
        <v/>
      </c>
      <c r="G330" s="23">
        <f>IF(A330="","",WEEKNUM(A330,2))</f>
        <v/>
      </c>
      <c r="H330" s="49">
        <f>IF(A330="","",DATE(YEAR(A330),MONTH(A330),1))</f>
        <v/>
      </c>
    </row>
    <row r="331">
      <c r="A331" s="48" t="n"/>
      <c r="B331" s="44" t="n"/>
      <c r="C331" s="44" t="n"/>
      <c r="D331" s="45" t="n"/>
      <c r="E331" s="44" t="n"/>
      <c r="F331" s="23">
        <f>IF(B331="","",IFERROR(INDEX(Cat_Tipo,MATCH(B331,Lista_Categorias,0)),"Deseo"))</f>
        <v/>
      </c>
      <c r="G331" s="23">
        <f>IF(A331="","",WEEKNUM(A331,2))</f>
        <v/>
      </c>
      <c r="H331" s="49">
        <f>IF(A331="","",DATE(YEAR(A331),MONTH(A331),1))</f>
        <v/>
      </c>
    </row>
    <row r="332">
      <c r="A332" s="48" t="n"/>
      <c r="B332" s="44" t="n"/>
      <c r="C332" s="44" t="n"/>
      <c r="D332" s="45" t="n"/>
      <c r="E332" s="44" t="n"/>
      <c r="F332" s="23">
        <f>IF(B332="","",IFERROR(INDEX(Cat_Tipo,MATCH(B332,Lista_Categorias,0)),"Deseo"))</f>
        <v/>
      </c>
      <c r="G332" s="23">
        <f>IF(A332="","",WEEKNUM(A332,2))</f>
        <v/>
      </c>
      <c r="H332" s="49">
        <f>IF(A332="","",DATE(YEAR(A332),MONTH(A332),1))</f>
        <v/>
      </c>
    </row>
    <row r="333">
      <c r="A333" s="48" t="n"/>
      <c r="B333" s="44" t="n"/>
      <c r="C333" s="44" t="n"/>
      <c r="D333" s="45" t="n"/>
      <c r="E333" s="44" t="n"/>
      <c r="F333" s="23">
        <f>IF(B333="","",IFERROR(INDEX(Cat_Tipo,MATCH(B333,Lista_Categorias,0)),"Deseo"))</f>
        <v/>
      </c>
      <c r="G333" s="23">
        <f>IF(A333="","",WEEKNUM(A333,2))</f>
        <v/>
      </c>
      <c r="H333" s="49">
        <f>IF(A333="","",DATE(YEAR(A333),MONTH(A333),1))</f>
        <v/>
      </c>
    </row>
    <row r="334">
      <c r="A334" s="48" t="n"/>
      <c r="B334" s="44" t="n"/>
      <c r="C334" s="44" t="n"/>
      <c r="D334" s="45" t="n"/>
      <c r="E334" s="44" t="n"/>
      <c r="F334" s="23">
        <f>IF(B334="","",IFERROR(INDEX(Cat_Tipo,MATCH(B334,Lista_Categorias,0)),"Deseo"))</f>
        <v/>
      </c>
      <c r="G334" s="23">
        <f>IF(A334="","",WEEKNUM(A334,2))</f>
        <v/>
      </c>
      <c r="H334" s="49">
        <f>IF(A334="","",DATE(YEAR(A334),MONTH(A334),1))</f>
        <v/>
      </c>
    </row>
    <row r="335">
      <c r="A335" s="48" t="n"/>
      <c r="B335" s="44" t="n"/>
      <c r="C335" s="44" t="n"/>
      <c r="D335" s="45" t="n"/>
      <c r="E335" s="44" t="n"/>
      <c r="F335" s="23">
        <f>IF(B335="","",IFERROR(INDEX(Cat_Tipo,MATCH(B335,Lista_Categorias,0)),"Deseo"))</f>
        <v/>
      </c>
      <c r="G335" s="23">
        <f>IF(A335="","",WEEKNUM(A335,2))</f>
        <v/>
      </c>
      <c r="H335" s="49">
        <f>IF(A335="","",DATE(YEAR(A335),MONTH(A335),1))</f>
        <v/>
      </c>
    </row>
    <row r="336">
      <c r="A336" s="48" t="n"/>
      <c r="B336" s="44" t="n"/>
      <c r="C336" s="44" t="n"/>
      <c r="D336" s="45" t="n"/>
      <c r="E336" s="44" t="n"/>
      <c r="F336" s="23">
        <f>IF(B336="","",IFERROR(INDEX(Cat_Tipo,MATCH(B336,Lista_Categorias,0)),"Deseo"))</f>
        <v/>
      </c>
      <c r="G336" s="23">
        <f>IF(A336="","",WEEKNUM(A336,2))</f>
        <v/>
      </c>
      <c r="H336" s="49">
        <f>IF(A336="","",DATE(YEAR(A336),MONTH(A336),1))</f>
        <v/>
      </c>
    </row>
    <row r="337">
      <c r="A337" s="48" t="n"/>
      <c r="B337" s="44" t="n"/>
      <c r="C337" s="44" t="n"/>
      <c r="D337" s="45" t="n"/>
      <c r="E337" s="44" t="n"/>
      <c r="F337" s="23">
        <f>IF(B337="","",IFERROR(INDEX(Cat_Tipo,MATCH(B337,Lista_Categorias,0)),"Deseo"))</f>
        <v/>
      </c>
      <c r="G337" s="23">
        <f>IF(A337="","",WEEKNUM(A337,2))</f>
        <v/>
      </c>
      <c r="H337" s="49">
        <f>IF(A337="","",DATE(YEAR(A337),MONTH(A337),1))</f>
        <v/>
      </c>
    </row>
    <row r="338">
      <c r="A338" s="48" t="n"/>
      <c r="B338" s="44" t="n"/>
      <c r="C338" s="44" t="n"/>
      <c r="D338" s="45" t="n"/>
      <c r="E338" s="44" t="n"/>
      <c r="F338" s="23">
        <f>IF(B338="","",IFERROR(INDEX(Cat_Tipo,MATCH(B338,Lista_Categorias,0)),"Deseo"))</f>
        <v/>
      </c>
      <c r="G338" s="23">
        <f>IF(A338="","",WEEKNUM(A338,2))</f>
        <v/>
      </c>
      <c r="H338" s="49">
        <f>IF(A338="","",DATE(YEAR(A338),MONTH(A338),1))</f>
        <v/>
      </c>
    </row>
    <row r="339">
      <c r="A339" s="48" t="n"/>
      <c r="B339" s="44" t="n"/>
      <c r="C339" s="44" t="n"/>
      <c r="D339" s="45" t="n"/>
      <c r="E339" s="44" t="n"/>
      <c r="F339" s="23">
        <f>IF(B339="","",IFERROR(INDEX(Cat_Tipo,MATCH(B339,Lista_Categorias,0)),"Deseo"))</f>
        <v/>
      </c>
      <c r="G339" s="23">
        <f>IF(A339="","",WEEKNUM(A339,2))</f>
        <v/>
      </c>
      <c r="H339" s="49">
        <f>IF(A339="","",DATE(YEAR(A339),MONTH(A339),1))</f>
        <v/>
      </c>
    </row>
    <row r="340">
      <c r="A340" s="48" t="n"/>
      <c r="B340" s="44" t="n"/>
      <c r="C340" s="44" t="n"/>
      <c r="D340" s="45" t="n"/>
      <c r="E340" s="44" t="n"/>
      <c r="F340" s="23">
        <f>IF(B340="","",IFERROR(INDEX(Cat_Tipo,MATCH(B340,Lista_Categorias,0)),"Deseo"))</f>
        <v/>
      </c>
      <c r="G340" s="23">
        <f>IF(A340="","",WEEKNUM(A340,2))</f>
        <v/>
      </c>
      <c r="H340" s="49">
        <f>IF(A340="","",DATE(YEAR(A340),MONTH(A340),1))</f>
        <v/>
      </c>
    </row>
    <row r="341">
      <c r="A341" s="48" t="n"/>
      <c r="B341" s="44" t="n"/>
      <c r="C341" s="44" t="n"/>
      <c r="D341" s="45" t="n"/>
      <c r="E341" s="44" t="n"/>
      <c r="F341" s="23">
        <f>IF(B341="","",IFERROR(INDEX(Cat_Tipo,MATCH(B341,Lista_Categorias,0)),"Deseo"))</f>
        <v/>
      </c>
      <c r="G341" s="23">
        <f>IF(A341="","",WEEKNUM(A341,2))</f>
        <v/>
      </c>
      <c r="H341" s="49">
        <f>IF(A341="","",DATE(YEAR(A341),MONTH(A341),1))</f>
        <v/>
      </c>
    </row>
    <row r="342">
      <c r="A342" s="48" t="n"/>
      <c r="B342" s="44" t="n"/>
      <c r="C342" s="44" t="n"/>
      <c r="D342" s="45" t="n"/>
      <c r="E342" s="44" t="n"/>
      <c r="F342" s="23">
        <f>IF(B342="","",IFERROR(INDEX(Cat_Tipo,MATCH(B342,Lista_Categorias,0)),"Deseo"))</f>
        <v/>
      </c>
      <c r="G342" s="23">
        <f>IF(A342="","",WEEKNUM(A342,2))</f>
        <v/>
      </c>
      <c r="H342" s="49">
        <f>IF(A342="","",DATE(YEAR(A342),MONTH(A342),1))</f>
        <v/>
      </c>
    </row>
    <row r="343">
      <c r="A343" s="48" t="n"/>
      <c r="B343" s="44" t="n"/>
      <c r="C343" s="44" t="n"/>
      <c r="D343" s="45" t="n"/>
      <c r="E343" s="44" t="n"/>
      <c r="F343" s="23">
        <f>IF(B343="","",IFERROR(INDEX(Cat_Tipo,MATCH(B343,Lista_Categorias,0)),"Deseo"))</f>
        <v/>
      </c>
      <c r="G343" s="23">
        <f>IF(A343="","",WEEKNUM(A343,2))</f>
        <v/>
      </c>
      <c r="H343" s="49">
        <f>IF(A343="","",DATE(YEAR(A343),MONTH(A343),1))</f>
        <v/>
      </c>
    </row>
    <row r="344">
      <c r="A344" s="48" t="n"/>
      <c r="B344" s="44" t="n"/>
      <c r="C344" s="44" t="n"/>
      <c r="D344" s="45" t="n"/>
      <c r="E344" s="44" t="n"/>
      <c r="F344" s="23">
        <f>IF(B344="","",IFERROR(INDEX(Cat_Tipo,MATCH(B344,Lista_Categorias,0)),"Deseo"))</f>
        <v/>
      </c>
      <c r="G344" s="23">
        <f>IF(A344="","",WEEKNUM(A344,2))</f>
        <v/>
      </c>
      <c r="H344" s="49">
        <f>IF(A344="","",DATE(YEAR(A344),MONTH(A344),1))</f>
        <v/>
      </c>
    </row>
    <row r="345">
      <c r="A345" s="48" t="n"/>
      <c r="B345" s="44" t="n"/>
      <c r="C345" s="44" t="n"/>
      <c r="D345" s="45" t="n"/>
      <c r="E345" s="44" t="n"/>
      <c r="F345" s="23">
        <f>IF(B345="","",IFERROR(INDEX(Cat_Tipo,MATCH(B345,Lista_Categorias,0)),"Deseo"))</f>
        <v/>
      </c>
      <c r="G345" s="23">
        <f>IF(A345="","",WEEKNUM(A345,2))</f>
        <v/>
      </c>
      <c r="H345" s="49">
        <f>IF(A345="","",DATE(YEAR(A345),MONTH(A345),1))</f>
        <v/>
      </c>
    </row>
    <row r="346">
      <c r="A346" s="48" t="n"/>
      <c r="B346" s="44" t="n"/>
      <c r="C346" s="44" t="n"/>
      <c r="D346" s="45" t="n"/>
      <c r="E346" s="44" t="n"/>
      <c r="F346" s="23">
        <f>IF(B346="","",IFERROR(INDEX(Cat_Tipo,MATCH(B346,Lista_Categorias,0)),"Deseo"))</f>
        <v/>
      </c>
      <c r="G346" s="23">
        <f>IF(A346="","",WEEKNUM(A346,2))</f>
        <v/>
      </c>
      <c r="H346" s="49">
        <f>IF(A346="","",DATE(YEAR(A346),MONTH(A346),1))</f>
        <v/>
      </c>
    </row>
    <row r="347">
      <c r="A347" s="48" t="n"/>
      <c r="B347" s="44" t="n"/>
      <c r="C347" s="44" t="n"/>
      <c r="D347" s="45" t="n"/>
      <c r="E347" s="44" t="n"/>
      <c r="F347" s="23">
        <f>IF(B347="","",IFERROR(INDEX(Cat_Tipo,MATCH(B347,Lista_Categorias,0)),"Deseo"))</f>
        <v/>
      </c>
      <c r="G347" s="23">
        <f>IF(A347="","",WEEKNUM(A347,2))</f>
        <v/>
      </c>
      <c r="H347" s="49">
        <f>IF(A347="","",DATE(YEAR(A347),MONTH(A347),1))</f>
        <v/>
      </c>
    </row>
    <row r="348">
      <c r="A348" s="48" t="n"/>
      <c r="B348" s="44" t="n"/>
      <c r="C348" s="44" t="n"/>
      <c r="D348" s="45" t="n"/>
      <c r="E348" s="44" t="n"/>
      <c r="F348" s="23">
        <f>IF(B348="","",IFERROR(INDEX(Cat_Tipo,MATCH(B348,Lista_Categorias,0)),"Deseo"))</f>
        <v/>
      </c>
      <c r="G348" s="23">
        <f>IF(A348="","",WEEKNUM(A348,2))</f>
        <v/>
      </c>
      <c r="H348" s="49">
        <f>IF(A348="","",DATE(YEAR(A348),MONTH(A348),1))</f>
        <v/>
      </c>
    </row>
    <row r="349">
      <c r="A349" s="48" t="n"/>
      <c r="B349" s="44" t="n"/>
      <c r="C349" s="44" t="n"/>
      <c r="D349" s="45" t="n"/>
      <c r="E349" s="44" t="n"/>
      <c r="F349" s="23">
        <f>IF(B349="","",IFERROR(INDEX(Cat_Tipo,MATCH(B349,Lista_Categorias,0)),"Deseo"))</f>
        <v/>
      </c>
      <c r="G349" s="23">
        <f>IF(A349="","",WEEKNUM(A349,2))</f>
        <v/>
      </c>
      <c r="H349" s="49">
        <f>IF(A349="","",DATE(YEAR(A349),MONTH(A349),1))</f>
        <v/>
      </c>
    </row>
    <row r="350">
      <c r="A350" s="48" t="n"/>
      <c r="B350" s="44" t="n"/>
      <c r="C350" s="44" t="n"/>
      <c r="D350" s="45" t="n"/>
      <c r="E350" s="44" t="n"/>
      <c r="F350" s="23">
        <f>IF(B350="","",IFERROR(INDEX(Cat_Tipo,MATCH(B350,Lista_Categorias,0)),"Deseo"))</f>
        <v/>
      </c>
      <c r="G350" s="23">
        <f>IF(A350="","",WEEKNUM(A350,2))</f>
        <v/>
      </c>
      <c r="H350" s="49">
        <f>IF(A350="","",DATE(YEAR(A350),MONTH(A350),1))</f>
        <v/>
      </c>
    </row>
    <row r="351">
      <c r="A351" s="48" t="n"/>
      <c r="B351" s="44" t="n"/>
      <c r="C351" s="44" t="n"/>
      <c r="D351" s="45" t="n"/>
      <c r="E351" s="44" t="n"/>
      <c r="F351" s="23">
        <f>IF(B351="","",IFERROR(INDEX(Cat_Tipo,MATCH(B351,Lista_Categorias,0)),"Deseo"))</f>
        <v/>
      </c>
      <c r="G351" s="23">
        <f>IF(A351="","",WEEKNUM(A351,2))</f>
        <v/>
      </c>
      <c r="H351" s="49">
        <f>IF(A351="","",DATE(YEAR(A351),MONTH(A351),1))</f>
        <v/>
      </c>
    </row>
    <row r="352">
      <c r="A352" s="48" t="n"/>
      <c r="B352" s="44" t="n"/>
      <c r="C352" s="44" t="n"/>
      <c r="D352" s="45" t="n"/>
      <c r="E352" s="44" t="n"/>
      <c r="F352" s="23">
        <f>IF(B352="","",IFERROR(INDEX(Cat_Tipo,MATCH(B352,Lista_Categorias,0)),"Deseo"))</f>
        <v/>
      </c>
      <c r="G352" s="23">
        <f>IF(A352="","",WEEKNUM(A352,2))</f>
        <v/>
      </c>
      <c r="H352" s="49">
        <f>IF(A352="","",DATE(YEAR(A352),MONTH(A352),1))</f>
        <v/>
      </c>
    </row>
    <row r="353">
      <c r="A353" s="48" t="n"/>
      <c r="B353" s="44" t="n"/>
      <c r="C353" s="44" t="n"/>
      <c r="D353" s="45" t="n"/>
      <c r="E353" s="44" t="n"/>
      <c r="F353" s="23">
        <f>IF(B353="","",IFERROR(INDEX(Cat_Tipo,MATCH(B353,Lista_Categorias,0)),"Deseo"))</f>
        <v/>
      </c>
      <c r="G353" s="23">
        <f>IF(A353="","",WEEKNUM(A353,2))</f>
        <v/>
      </c>
      <c r="H353" s="49">
        <f>IF(A353="","",DATE(YEAR(A353),MONTH(A353),1))</f>
        <v/>
      </c>
    </row>
    <row r="354">
      <c r="A354" s="48" t="n"/>
      <c r="B354" s="44" t="n"/>
      <c r="C354" s="44" t="n"/>
      <c r="D354" s="45" t="n"/>
      <c r="E354" s="44" t="n"/>
      <c r="F354" s="23">
        <f>IF(B354="","",IFERROR(INDEX(Cat_Tipo,MATCH(B354,Lista_Categorias,0)),"Deseo"))</f>
        <v/>
      </c>
      <c r="G354" s="23">
        <f>IF(A354="","",WEEKNUM(A354,2))</f>
        <v/>
      </c>
      <c r="H354" s="49">
        <f>IF(A354="","",DATE(YEAR(A354),MONTH(A354),1))</f>
        <v/>
      </c>
    </row>
    <row r="355">
      <c r="A355" s="48" t="n"/>
      <c r="B355" s="44" t="n"/>
      <c r="C355" s="44" t="n"/>
      <c r="D355" s="45" t="n"/>
      <c r="E355" s="44" t="n"/>
      <c r="F355" s="23">
        <f>IF(B355="","",IFERROR(INDEX(Cat_Tipo,MATCH(B355,Lista_Categorias,0)),"Deseo"))</f>
        <v/>
      </c>
      <c r="G355" s="23">
        <f>IF(A355="","",WEEKNUM(A355,2))</f>
        <v/>
      </c>
      <c r="H355" s="49">
        <f>IF(A355="","",DATE(YEAR(A355),MONTH(A355),1))</f>
        <v/>
      </c>
    </row>
    <row r="356">
      <c r="A356" s="48" t="n"/>
      <c r="B356" s="44" t="n"/>
      <c r="C356" s="44" t="n"/>
      <c r="D356" s="45" t="n"/>
      <c r="E356" s="44" t="n"/>
      <c r="F356" s="23">
        <f>IF(B356="","",IFERROR(INDEX(Cat_Tipo,MATCH(B356,Lista_Categorias,0)),"Deseo"))</f>
        <v/>
      </c>
      <c r="G356" s="23">
        <f>IF(A356="","",WEEKNUM(A356,2))</f>
        <v/>
      </c>
      <c r="H356" s="49">
        <f>IF(A356="","",DATE(YEAR(A356),MONTH(A356),1))</f>
        <v/>
      </c>
    </row>
    <row r="357">
      <c r="A357" s="48" t="n"/>
      <c r="B357" s="44" t="n"/>
      <c r="C357" s="44" t="n"/>
      <c r="D357" s="45" t="n"/>
      <c r="E357" s="44" t="n"/>
      <c r="F357" s="23">
        <f>IF(B357="","",IFERROR(INDEX(Cat_Tipo,MATCH(B357,Lista_Categorias,0)),"Deseo"))</f>
        <v/>
      </c>
      <c r="G357" s="23">
        <f>IF(A357="","",WEEKNUM(A357,2))</f>
        <v/>
      </c>
      <c r="H357" s="49">
        <f>IF(A357="","",DATE(YEAR(A357),MONTH(A357),1))</f>
        <v/>
      </c>
    </row>
    <row r="358">
      <c r="A358" s="48" t="n"/>
      <c r="B358" s="44" t="n"/>
      <c r="C358" s="44" t="n"/>
      <c r="D358" s="45" t="n"/>
      <c r="E358" s="44" t="n"/>
      <c r="F358" s="23">
        <f>IF(B358="","",IFERROR(INDEX(Cat_Tipo,MATCH(B358,Lista_Categorias,0)),"Deseo"))</f>
        <v/>
      </c>
      <c r="G358" s="23">
        <f>IF(A358="","",WEEKNUM(A358,2))</f>
        <v/>
      </c>
      <c r="H358" s="49">
        <f>IF(A358="","",DATE(YEAR(A358),MONTH(A358),1))</f>
        <v/>
      </c>
    </row>
    <row r="359">
      <c r="A359" s="48" t="n"/>
      <c r="B359" s="44" t="n"/>
      <c r="C359" s="44" t="n"/>
      <c r="D359" s="45" t="n"/>
      <c r="E359" s="44" t="n"/>
      <c r="F359" s="23">
        <f>IF(B359="","",IFERROR(INDEX(Cat_Tipo,MATCH(B359,Lista_Categorias,0)),"Deseo"))</f>
        <v/>
      </c>
      <c r="G359" s="23">
        <f>IF(A359="","",WEEKNUM(A359,2))</f>
        <v/>
      </c>
      <c r="H359" s="49">
        <f>IF(A359="","",DATE(YEAR(A359),MONTH(A359),1))</f>
        <v/>
      </c>
    </row>
    <row r="360">
      <c r="A360" s="48" t="n"/>
      <c r="B360" s="44" t="n"/>
      <c r="C360" s="44" t="n"/>
      <c r="D360" s="45" t="n"/>
      <c r="E360" s="44" t="n"/>
      <c r="F360" s="23">
        <f>IF(B360="","",IFERROR(INDEX(Cat_Tipo,MATCH(B360,Lista_Categorias,0)),"Deseo"))</f>
        <v/>
      </c>
      <c r="G360" s="23">
        <f>IF(A360="","",WEEKNUM(A360,2))</f>
        <v/>
      </c>
      <c r="H360" s="49">
        <f>IF(A360="","",DATE(YEAR(A360),MONTH(A360),1))</f>
        <v/>
      </c>
    </row>
    <row r="361">
      <c r="A361" s="48" t="n"/>
      <c r="B361" s="44" t="n"/>
      <c r="C361" s="44" t="n"/>
      <c r="D361" s="45" t="n"/>
      <c r="E361" s="44" t="n"/>
      <c r="F361" s="23">
        <f>IF(B361="","",IFERROR(INDEX(Cat_Tipo,MATCH(B361,Lista_Categorias,0)),"Deseo"))</f>
        <v/>
      </c>
      <c r="G361" s="23">
        <f>IF(A361="","",WEEKNUM(A361,2))</f>
        <v/>
      </c>
      <c r="H361" s="49">
        <f>IF(A361="","",DATE(YEAR(A361),MONTH(A361),1))</f>
        <v/>
      </c>
    </row>
    <row r="362">
      <c r="A362" s="48" t="n"/>
      <c r="B362" s="44" t="n"/>
      <c r="C362" s="44" t="n"/>
      <c r="D362" s="45" t="n"/>
      <c r="E362" s="44" t="n"/>
      <c r="F362" s="23">
        <f>IF(B362="","",IFERROR(INDEX(Cat_Tipo,MATCH(B362,Lista_Categorias,0)),"Deseo"))</f>
        <v/>
      </c>
      <c r="G362" s="23">
        <f>IF(A362="","",WEEKNUM(A362,2))</f>
        <v/>
      </c>
      <c r="H362" s="49">
        <f>IF(A362="","",DATE(YEAR(A362),MONTH(A362),1))</f>
        <v/>
      </c>
    </row>
    <row r="363">
      <c r="A363" s="48" t="n"/>
      <c r="B363" s="44" t="n"/>
      <c r="C363" s="44" t="n"/>
      <c r="D363" s="45" t="n"/>
      <c r="E363" s="44" t="n"/>
      <c r="F363" s="23">
        <f>IF(B363="","",IFERROR(INDEX(Cat_Tipo,MATCH(B363,Lista_Categorias,0)),"Deseo"))</f>
        <v/>
      </c>
      <c r="G363" s="23">
        <f>IF(A363="","",WEEKNUM(A363,2))</f>
        <v/>
      </c>
      <c r="H363" s="49">
        <f>IF(A363="","",DATE(YEAR(A363),MONTH(A363),1))</f>
        <v/>
      </c>
    </row>
    <row r="364">
      <c r="A364" s="48" t="n"/>
      <c r="B364" s="44" t="n"/>
      <c r="C364" s="44" t="n"/>
      <c r="D364" s="45" t="n"/>
      <c r="E364" s="44" t="n"/>
      <c r="F364" s="23">
        <f>IF(B364="","",IFERROR(INDEX(Cat_Tipo,MATCH(B364,Lista_Categorias,0)),"Deseo"))</f>
        <v/>
      </c>
      <c r="G364" s="23">
        <f>IF(A364="","",WEEKNUM(A364,2))</f>
        <v/>
      </c>
      <c r="H364" s="49">
        <f>IF(A364="","",DATE(YEAR(A364),MONTH(A364),1))</f>
        <v/>
      </c>
    </row>
    <row r="365">
      <c r="A365" s="48" t="n"/>
      <c r="B365" s="44" t="n"/>
      <c r="C365" s="44" t="n"/>
      <c r="D365" s="45" t="n"/>
      <c r="E365" s="44" t="n"/>
      <c r="F365" s="23">
        <f>IF(B365="","",IFERROR(INDEX(Cat_Tipo,MATCH(B365,Lista_Categorias,0)),"Deseo"))</f>
        <v/>
      </c>
      <c r="G365" s="23">
        <f>IF(A365="","",WEEKNUM(A365,2))</f>
        <v/>
      </c>
      <c r="H365" s="49">
        <f>IF(A365="","",DATE(YEAR(A365),MONTH(A365),1))</f>
        <v/>
      </c>
    </row>
    <row r="366">
      <c r="A366" s="48" t="n"/>
      <c r="B366" s="44" t="n"/>
      <c r="C366" s="44" t="n"/>
      <c r="D366" s="45" t="n"/>
      <c r="E366" s="44" t="n"/>
      <c r="F366" s="23">
        <f>IF(B366="","",IFERROR(INDEX(Cat_Tipo,MATCH(B366,Lista_Categorias,0)),"Deseo"))</f>
        <v/>
      </c>
      <c r="G366" s="23">
        <f>IF(A366="","",WEEKNUM(A366,2))</f>
        <v/>
      </c>
      <c r="H366" s="49">
        <f>IF(A366="","",DATE(YEAR(A366),MONTH(A366),1))</f>
        <v/>
      </c>
    </row>
    <row r="367">
      <c r="A367" s="48" t="n"/>
      <c r="B367" s="44" t="n"/>
      <c r="C367" s="44" t="n"/>
      <c r="D367" s="45" t="n"/>
      <c r="E367" s="44" t="n"/>
      <c r="F367" s="23">
        <f>IF(B367="","",IFERROR(INDEX(Cat_Tipo,MATCH(B367,Lista_Categorias,0)),"Deseo"))</f>
        <v/>
      </c>
      <c r="G367" s="23">
        <f>IF(A367="","",WEEKNUM(A367,2))</f>
        <v/>
      </c>
      <c r="H367" s="49">
        <f>IF(A367="","",DATE(YEAR(A367),MONTH(A367),1))</f>
        <v/>
      </c>
    </row>
    <row r="368">
      <c r="A368" s="48" t="n"/>
      <c r="B368" s="44" t="n"/>
      <c r="C368" s="44" t="n"/>
      <c r="D368" s="45" t="n"/>
      <c r="E368" s="44" t="n"/>
      <c r="F368" s="23">
        <f>IF(B368="","",IFERROR(INDEX(Cat_Tipo,MATCH(B368,Lista_Categorias,0)),"Deseo"))</f>
        <v/>
      </c>
      <c r="G368" s="23">
        <f>IF(A368="","",WEEKNUM(A368,2))</f>
        <v/>
      </c>
      <c r="H368" s="49">
        <f>IF(A368="","",DATE(YEAR(A368),MONTH(A368),1))</f>
        <v/>
      </c>
    </row>
    <row r="369">
      <c r="A369" s="48" t="n"/>
      <c r="B369" s="44" t="n"/>
      <c r="C369" s="44" t="n"/>
      <c r="D369" s="45" t="n"/>
      <c r="E369" s="44" t="n"/>
      <c r="F369" s="23">
        <f>IF(B369="","",IFERROR(INDEX(Cat_Tipo,MATCH(B369,Lista_Categorias,0)),"Deseo"))</f>
        <v/>
      </c>
      <c r="G369" s="23">
        <f>IF(A369="","",WEEKNUM(A369,2))</f>
        <v/>
      </c>
      <c r="H369" s="49">
        <f>IF(A369="","",DATE(YEAR(A369),MONTH(A369),1))</f>
        <v/>
      </c>
    </row>
    <row r="370">
      <c r="A370" s="48" t="n"/>
      <c r="B370" s="44" t="n"/>
      <c r="C370" s="44" t="n"/>
      <c r="D370" s="45" t="n"/>
      <c r="E370" s="44" t="n"/>
      <c r="F370" s="23">
        <f>IF(B370="","",IFERROR(INDEX(Cat_Tipo,MATCH(B370,Lista_Categorias,0)),"Deseo"))</f>
        <v/>
      </c>
      <c r="G370" s="23">
        <f>IF(A370="","",WEEKNUM(A370,2))</f>
        <v/>
      </c>
      <c r="H370" s="49">
        <f>IF(A370="","",DATE(YEAR(A370),MONTH(A370),1))</f>
        <v/>
      </c>
    </row>
    <row r="371">
      <c r="A371" s="48" t="n"/>
      <c r="B371" s="44" t="n"/>
      <c r="C371" s="44" t="n"/>
      <c r="D371" s="45" t="n"/>
      <c r="E371" s="44" t="n"/>
      <c r="F371" s="23">
        <f>IF(B371="","",IFERROR(INDEX(Cat_Tipo,MATCH(B371,Lista_Categorias,0)),"Deseo"))</f>
        <v/>
      </c>
      <c r="G371" s="23">
        <f>IF(A371="","",WEEKNUM(A371,2))</f>
        <v/>
      </c>
      <c r="H371" s="49">
        <f>IF(A371="","",DATE(YEAR(A371),MONTH(A371),1))</f>
        <v/>
      </c>
    </row>
    <row r="372">
      <c r="A372" s="48" t="n"/>
      <c r="B372" s="44" t="n"/>
      <c r="C372" s="44" t="n"/>
      <c r="D372" s="45" t="n"/>
      <c r="E372" s="44" t="n"/>
      <c r="F372" s="23">
        <f>IF(B372="","",IFERROR(INDEX(Cat_Tipo,MATCH(B372,Lista_Categorias,0)),"Deseo"))</f>
        <v/>
      </c>
      <c r="G372" s="23">
        <f>IF(A372="","",WEEKNUM(A372,2))</f>
        <v/>
      </c>
      <c r="H372" s="49">
        <f>IF(A372="","",DATE(YEAR(A372),MONTH(A372),1))</f>
        <v/>
      </c>
    </row>
    <row r="373">
      <c r="A373" s="48" t="n"/>
      <c r="B373" s="44" t="n"/>
      <c r="C373" s="44" t="n"/>
      <c r="D373" s="45" t="n"/>
      <c r="E373" s="44" t="n"/>
      <c r="F373" s="23">
        <f>IF(B373="","",IFERROR(INDEX(Cat_Tipo,MATCH(B373,Lista_Categorias,0)),"Deseo"))</f>
        <v/>
      </c>
      <c r="G373" s="23">
        <f>IF(A373="","",WEEKNUM(A373,2))</f>
        <v/>
      </c>
      <c r="H373" s="49">
        <f>IF(A373="","",DATE(YEAR(A373),MONTH(A373),1))</f>
        <v/>
      </c>
    </row>
    <row r="374">
      <c r="A374" s="48" t="n"/>
      <c r="B374" s="44" t="n"/>
      <c r="C374" s="44" t="n"/>
      <c r="D374" s="45" t="n"/>
      <c r="E374" s="44" t="n"/>
      <c r="F374" s="23">
        <f>IF(B374="","",IFERROR(INDEX(Cat_Tipo,MATCH(B374,Lista_Categorias,0)),"Deseo"))</f>
        <v/>
      </c>
      <c r="G374" s="23">
        <f>IF(A374="","",WEEKNUM(A374,2))</f>
        <v/>
      </c>
      <c r="H374" s="49">
        <f>IF(A374="","",DATE(YEAR(A374),MONTH(A374),1))</f>
        <v/>
      </c>
    </row>
    <row r="375">
      <c r="A375" s="48" t="n"/>
      <c r="B375" s="44" t="n"/>
      <c r="C375" s="44" t="n"/>
      <c r="D375" s="45" t="n"/>
      <c r="E375" s="44" t="n"/>
      <c r="F375" s="23">
        <f>IF(B375="","",IFERROR(INDEX(Cat_Tipo,MATCH(B375,Lista_Categorias,0)),"Deseo"))</f>
        <v/>
      </c>
      <c r="G375" s="23">
        <f>IF(A375="","",WEEKNUM(A375,2))</f>
        <v/>
      </c>
      <c r="H375" s="49">
        <f>IF(A375="","",DATE(YEAR(A375),MONTH(A375),1))</f>
        <v/>
      </c>
    </row>
    <row r="376">
      <c r="A376" s="48" t="n"/>
      <c r="B376" s="44" t="n"/>
      <c r="C376" s="44" t="n"/>
      <c r="D376" s="45" t="n"/>
      <c r="E376" s="44" t="n"/>
      <c r="F376" s="23">
        <f>IF(B376="","",IFERROR(INDEX(Cat_Tipo,MATCH(B376,Lista_Categorias,0)),"Deseo"))</f>
        <v/>
      </c>
      <c r="G376" s="23">
        <f>IF(A376="","",WEEKNUM(A376,2))</f>
        <v/>
      </c>
      <c r="H376" s="49">
        <f>IF(A376="","",DATE(YEAR(A376),MONTH(A376),1))</f>
        <v/>
      </c>
    </row>
    <row r="377">
      <c r="A377" s="48" t="n"/>
      <c r="B377" s="44" t="n"/>
      <c r="C377" s="44" t="n"/>
      <c r="D377" s="45" t="n"/>
      <c r="E377" s="44" t="n"/>
      <c r="F377" s="23">
        <f>IF(B377="","",IFERROR(INDEX(Cat_Tipo,MATCH(B377,Lista_Categorias,0)),"Deseo"))</f>
        <v/>
      </c>
      <c r="G377" s="23">
        <f>IF(A377="","",WEEKNUM(A377,2))</f>
        <v/>
      </c>
      <c r="H377" s="49">
        <f>IF(A377="","",DATE(YEAR(A377),MONTH(A377),1))</f>
        <v/>
      </c>
    </row>
    <row r="378">
      <c r="A378" s="48" t="n"/>
      <c r="B378" s="44" t="n"/>
      <c r="C378" s="44" t="n"/>
      <c r="D378" s="45" t="n"/>
      <c r="E378" s="44" t="n"/>
      <c r="F378" s="23">
        <f>IF(B378="","",IFERROR(INDEX(Cat_Tipo,MATCH(B378,Lista_Categorias,0)),"Deseo"))</f>
        <v/>
      </c>
      <c r="G378" s="23">
        <f>IF(A378="","",WEEKNUM(A378,2))</f>
        <v/>
      </c>
      <c r="H378" s="49">
        <f>IF(A378="","",DATE(YEAR(A378),MONTH(A378),1))</f>
        <v/>
      </c>
    </row>
    <row r="379">
      <c r="A379" s="48" t="n"/>
      <c r="B379" s="44" t="n"/>
      <c r="C379" s="44" t="n"/>
      <c r="D379" s="45" t="n"/>
      <c r="E379" s="44" t="n"/>
      <c r="F379" s="23">
        <f>IF(B379="","",IFERROR(INDEX(Cat_Tipo,MATCH(B379,Lista_Categorias,0)),"Deseo"))</f>
        <v/>
      </c>
      <c r="G379" s="23">
        <f>IF(A379="","",WEEKNUM(A379,2))</f>
        <v/>
      </c>
      <c r="H379" s="49">
        <f>IF(A379="","",DATE(YEAR(A379),MONTH(A379),1))</f>
        <v/>
      </c>
    </row>
    <row r="380">
      <c r="A380" s="48" t="n"/>
      <c r="B380" s="44" t="n"/>
      <c r="C380" s="44" t="n"/>
      <c r="D380" s="45" t="n"/>
      <c r="E380" s="44" t="n"/>
      <c r="F380" s="23">
        <f>IF(B380="","",IFERROR(INDEX(Cat_Tipo,MATCH(B380,Lista_Categorias,0)),"Deseo"))</f>
        <v/>
      </c>
      <c r="G380" s="23">
        <f>IF(A380="","",WEEKNUM(A380,2))</f>
        <v/>
      </c>
      <c r="H380" s="49">
        <f>IF(A380="","",DATE(YEAR(A380),MONTH(A380),1))</f>
        <v/>
      </c>
    </row>
    <row r="381">
      <c r="A381" s="48" t="n"/>
      <c r="B381" s="44" t="n"/>
      <c r="C381" s="44" t="n"/>
      <c r="D381" s="45" t="n"/>
      <c r="E381" s="44" t="n"/>
      <c r="F381" s="23">
        <f>IF(B381="","",IFERROR(INDEX(Cat_Tipo,MATCH(B381,Lista_Categorias,0)),"Deseo"))</f>
        <v/>
      </c>
      <c r="G381" s="23">
        <f>IF(A381="","",WEEKNUM(A381,2))</f>
        <v/>
      </c>
      <c r="H381" s="49">
        <f>IF(A381="","",DATE(YEAR(A381),MONTH(A381),1))</f>
        <v/>
      </c>
    </row>
    <row r="382">
      <c r="A382" s="48" t="n"/>
      <c r="B382" s="44" t="n"/>
      <c r="C382" s="44" t="n"/>
      <c r="D382" s="45" t="n"/>
      <c r="E382" s="44" t="n"/>
      <c r="F382" s="23">
        <f>IF(B382="","",IFERROR(INDEX(Cat_Tipo,MATCH(B382,Lista_Categorias,0)),"Deseo"))</f>
        <v/>
      </c>
      <c r="G382" s="23">
        <f>IF(A382="","",WEEKNUM(A382,2))</f>
        <v/>
      </c>
      <c r="H382" s="49">
        <f>IF(A382="","",DATE(YEAR(A382),MONTH(A382),1))</f>
        <v/>
      </c>
    </row>
    <row r="383">
      <c r="A383" s="48" t="n"/>
      <c r="B383" s="44" t="n"/>
      <c r="C383" s="44" t="n"/>
      <c r="D383" s="45" t="n"/>
      <c r="E383" s="44" t="n"/>
      <c r="F383" s="23">
        <f>IF(B383="","",IFERROR(INDEX(Cat_Tipo,MATCH(B383,Lista_Categorias,0)),"Deseo"))</f>
        <v/>
      </c>
      <c r="G383" s="23">
        <f>IF(A383="","",WEEKNUM(A383,2))</f>
        <v/>
      </c>
      <c r="H383" s="49">
        <f>IF(A383="","",DATE(YEAR(A383),MONTH(A383),1))</f>
        <v/>
      </c>
    </row>
    <row r="384">
      <c r="A384" s="48" t="n"/>
      <c r="B384" s="44" t="n"/>
      <c r="C384" s="44" t="n"/>
      <c r="D384" s="45" t="n"/>
      <c r="E384" s="44" t="n"/>
      <c r="F384" s="23">
        <f>IF(B384="","",IFERROR(INDEX(Cat_Tipo,MATCH(B384,Lista_Categorias,0)),"Deseo"))</f>
        <v/>
      </c>
      <c r="G384" s="23">
        <f>IF(A384="","",WEEKNUM(A384,2))</f>
        <v/>
      </c>
      <c r="H384" s="49">
        <f>IF(A384="","",DATE(YEAR(A384),MONTH(A384),1))</f>
        <v/>
      </c>
    </row>
    <row r="385">
      <c r="A385" s="48" t="n"/>
      <c r="B385" s="44" t="n"/>
      <c r="C385" s="44" t="n"/>
      <c r="D385" s="45" t="n"/>
      <c r="E385" s="44" t="n"/>
      <c r="F385" s="23">
        <f>IF(B385="","",IFERROR(INDEX(Cat_Tipo,MATCH(B385,Lista_Categorias,0)),"Deseo"))</f>
        <v/>
      </c>
      <c r="G385" s="23">
        <f>IF(A385="","",WEEKNUM(A385,2))</f>
        <v/>
      </c>
      <c r="H385" s="49">
        <f>IF(A385="","",DATE(YEAR(A385),MONTH(A385),1))</f>
        <v/>
      </c>
    </row>
    <row r="386">
      <c r="A386" s="48" t="n"/>
      <c r="B386" s="44" t="n"/>
      <c r="C386" s="44" t="n"/>
      <c r="D386" s="45" t="n"/>
      <c r="E386" s="44" t="n"/>
      <c r="F386" s="23">
        <f>IF(B386="","",IFERROR(INDEX(Cat_Tipo,MATCH(B386,Lista_Categorias,0)),"Deseo"))</f>
        <v/>
      </c>
      <c r="G386" s="23">
        <f>IF(A386="","",WEEKNUM(A386,2))</f>
        <v/>
      </c>
      <c r="H386" s="49">
        <f>IF(A386="","",DATE(YEAR(A386),MONTH(A386),1))</f>
        <v/>
      </c>
    </row>
    <row r="387">
      <c r="A387" s="48" t="n"/>
      <c r="B387" s="44" t="n"/>
      <c r="C387" s="44" t="n"/>
      <c r="D387" s="45" t="n"/>
      <c r="E387" s="44" t="n"/>
      <c r="F387" s="23">
        <f>IF(B387="","",IFERROR(INDEX(Cat_Tipo,MATCH(B387,Lista_Categorias,0)),"Deseo"))</f>
        <v/>
      </c>
      <c r="G387" s="23">
        <f>IF(A387="","",WEEKNUM(A387,2))</f>
        <v/>
      </c>
      <c r="H387" s="49">
        <f>IF(A387="","",DATE(YEAR(A387),MONTH(A387),1))</f>
        <v/>
      </c>
    </row>
    <row r="388">
      <c r="A388" s="48" t="n"/>
      <c r="B388" s="44" t="n"/>
      <c r="C388" s="44" t="n"/>
      <c r="D388" s="45" t="n"/>
      <c r="E388" s="44" t="n"/>
      <c r="F388" s="23">
        <f>IF(B388="","",IFERROR(INDEX(Cat_Tipo,MATCH(B388,Lista_Categorias,0)),"Deseo"))</f>
        <v/>
      </c>
      <c r="G388" s="23">
        <f>IF(A388="","",WEEKNUM(A388,2))</f>
        <v/>
      </c>
      <c r="H388" s="49">
        <f>IF(A388="","",DATE(YEAR(A388),MONTH(A388),1))</f>
        <v/>
      </c>
    </row>
    <row r="389">
      <c r="A389" s="48" t="n"/>
      <c r="B389" s="44" t="n"/>
      <c r="C389" s="44" t="n"/>
      <c r="D389" s="45" t="n"/>
      <c r="E389" s="44" t="n"/>
      <c r="F389" s="23">
        <f>IF(B389="","",IFERROR(INDEX(Cat_Tipo,MATCH(B389,Lista_Categorias,0)),"Deseo"))</f>
        <v/>
      </c>
      <c r="G389" s="23">
        <f>IF(A389="","",WEEKNUM(A389,2))</f>
        <v/>
      </c>
      <c r="H389" s="49">
        <f>IF(A389="","",DATE(YEAR(A389),MONTH(A389),1))</f>
        <v/>
      </c>
    </row>
    <row r="390">
      <c r="A390" s="48" t="n"/>
      <c r="B390" s="44" t="n"/>
      <c r="C390" s="44" t="n"/>
      <c r="D390" s="45" t="n"/>
      <c r="E390" s="44" t="n"/>
      <c r="F390" s="23">
        <f>IF(B390="","",IFERROR(INDEX(Cat_Tipo,MATCH(B390,Lista_Categorias,0)),"Deseo"))</f>
        <v/>
      </c>
      <c r="G390" s="23">
        <f>IF(A390="","",WEEKNUM(A390,2))</f>
        <v/>
      </c>
      <c r="H390" s="49">
        <f>IF(A390="","",DATE(YEAR(A390),MONTH(A390),1))</f>
        <v/>
      </c>
    </row>
    <row r="391">
      <c r="A391" s="48" t="n"/>
      <c r="B391" s="44" t="n"/>
      <c r="C391" s="44" t="n"/>
      <c r="D391" s="45" t="n"/>
      <c r="E391" s="44" t="n"/>
      <c r="F391" s="23">
        <f>IF(B391="","",IFERROR(INDEX(Cat_Tipo,MATCH(B391,Lista_Categorias,0)),"Deseo"))</f>
        <v/>
      </c>
      <c r="G391" s="23">
        <f>IF(A391="","",WEEKNUM(A391,2))</f>
        <v/>
      </c>
      <c r="H391" s="49">
        <f>IF(A391="","",DATE(YEAR(A391),MONTH(A391),1))</f>
        <v/>
      </c>
    </row>
    <row r="392">
      <c r="A392" s="48" t="n"/>
      <c r="B392" s="44" t="n"/>
      <c r="C392" s="44" t="n"/>
      <c r="D392" s="45" t="n"/>
      <c r="E392" s="44" t="n"/>
      <c r="F392" s="23">
        <f>IF(B392="","",IFERROR(INDEX(Cat_Tipo,MATCH(B392,Lista_Categorias,0)),"Deseo"))</f>
        <v/>
      </c>
      <c r="G392" s="23">
        <f>IF(A392="","",WEEKNUM(A392,2))</f>
        <v/>
      </c>
      <c r="H392" s="49">
        <f>IF(A392="","",DATE(YEAR(A392),MONTH(A392),1))</f>
        <v/>
      </c>
    </row>
    <row r="393">
      <c r="A393" s="48" t="n"/>
      <c r="B393" s="44" t="n"/>
      <c r="C393" s="44" t="n"/>
      <c r="D393" s="45" t="n"/>
      <c r="E393" s="44" t="n"/>
      <c r="F393" s="23">
        <f>IF(B393="","",IFERROR(INDEX(Cat_Tipo,MATCH(B393,Lista_Categorias,0)),"Deseo"))</f>
        <v/>
      </c>
      <c r="G393" s="23">
        <f>IF(A393="","",WEEKNUM(A393,2))</f>
        <v/>
      </c>
      <c r="H393" s="49">
        <f>IF(A393="","",DATE(YEAR(A393),MONTH(A393),1))</f>
        <v/>
      </c>
    </row>
    <row r="394">
      <c r="A394" s="48" t="n"/>
      <c r="B394" s="44" t="n"/>
      <c r="C394" s="44" t="n"/>
      <c r="D394" s="45" t="n"/>
      <c r="E394" s="44" t="n"/>
      <c r="F394" s="23">
        <f>IF(B394="","",IFERROR(INDEX(Cat_Tipo,MATCH(B394,Lista_Categorias,0)),"Deseo"))</f>
        <v/>
      </c>
      <c r="G394" s="23">
        <f>IF(A394="","",WEEKNUM(A394,2))</f>
        <v/>
      </c>
      <c r="H394" s="49">
        <f>IF(A394="","",DATE(YEAR(A394),MONTH(A394),1))</f>
        <v/>
      </c>
    </row>
    <row r="395">
      <c r="A395" s="48" t="n"/>
      <c r="B395" s="44" t="n"/>
      <c r="C395" s="44" t="n"/>
      <c r="D395" s="45" t="n"/>
      <c r="E395" s="44" t="n"/>
      <c r="F395" s="23">
        <f>IF(B395="","",IFERROR(INDEX(Cat_Tipo,MATCH(B395,Lista_Categorias,0)),"Deseo"))</f>
        <v/>
      </c>
      <c r="G395" s="23">
        <f>IF(A395="","",WEEKNUM(A395,2))</f>
        <v/>
      </c>
      <c r="H395" s="49">
        <f>IF(A395="","",DATE(YEAR(A395),MONTH(A395),1))</f>
        <v/>
      </c>
    </row>
    <row r="396">
      <c r="A396" s="48" t="n"/>
      <c r="B396" s="44" t="n"/>
      <c r="C396" s="44" t="n"/>
      <c r="D396" s="45" t="n"/>
      <c r="E396" s="44" t="n"/>
      <c r="F396" s="23">
        <f>IF(B396="","",IFERROR(INDEX(Cat_Tipo,MATCH(B396,Lista_Categorias,0)),"Deseo"))</f>
        <v/>
      </c>
      <c r="G396" s="23">
        <f>IF(A396="","",WEEKNUM(A396,2))</f>
        <v/>
      </c>
      <c r="H396" s="49">
        <f>IF(A396="","",DATE(YEAR(A396),MONTH(A396),1))</f>
        <v/>
      </c>
    </row>
    <row r="397">
      <c r="A397" s="48" t="n"/>
      <c r="B397" s="44" t="n"/>
      <c r="C397" s="44" t="n"/>
      <c r="D397" s="45" t="n"/>
      <c r="E397" s="44" t="n"/>
      <c r="F397" s="23">
        <f>IF(B397="","",IFERROR(INDEX(Cat_Tipo,MATCH(B397,Lista_Categorias,0)),"Deseo"))</f>
        <v/>
      </c>
      <c r="G397" s="23">
        <f>IF(A397="","",WEEKNUM(A397,2))</f>
        <v/>
      </c>
      <c r="H397" s="49">
        <f>IF(A397="","",DATE(YEAR(A397),MONTH(A397),1))</f>
        <v/>
      </c>
    </row>
    <row r="398">
      <c r="A398" s="48" t="n"/>
      <c r="B398" s="44" t="n"/>
      <c r="C398" s="44" t="n"/>
      <c r="D398" s="45" t="n"/>
      <c r="E398" s="44" t="n"/>
      <c r="F398" s="23">
        <f>IF(B398="","",IFERROR(INDEX(Cat_Tipo,MATCH(B398,Lista_Categorias,0)),"Deseo"))</f>
        <v/>
      </c>
      <c r="G398" s="23">
        <f>IF(A398="","",WEEKNUM(A398,2))</f>
        <v/>
      </c>
      <c r="H398" s="49">
        <f>IF(A398="","",DATE(YEAR(A398),MONTH(A398),1))</f>
        <v/>
      </c>
    </row>
    <row r="399">
      <c r="A399" s="48" t="n"/>
      <c r="B399" s="44" t="n"/>
      <c r="C399" s="44" t="n"/>
      <c r="D399" s="45" t="n"/>
      <c r="E399" s="44" t="n"/>
      <c r="F399" s="23">
        <f>IF(B399="","",IFERROR(INDEX(Cat_Tipo,MATCH(B399,Lista_Categorias,0)),"Deseo"))</f>
        <v/>
      </c>
      <c r="G399" s="23">
        <f>IF(A399="","",WEEKNUM(A399,2))</f>
        <v/>
      </c>
      <c r="H399" s="49">
        <f>IF(A399="","",DATE(YEAR(A399),MONTH(A399),1))</f>
        <v/>
      </c>
    </row>
    <row r="400">
      <c r="A400" s="48" t="n"/>
      <c r="B400" s="44" t="n"/>
      <c r="C400" s="44" t="n"/>
      <c r="D400" s="45" t="n"/>
      <c r="E400" s="44" t="n"/>
      <c r="F400" s="23">
        <f>IF(B400="","",IFERROR(INDEX(Cat_Tipo,MATCH(B400,Lista_Categorias,0)),"Deseo"))</f>
        <v/>
      </c>
      <c r="G400" s="23">
        <f>IF(A400="","",WEEKNUM(A400,2))</f>
        <v/>
      </c>
      <c r="H400" s="49">
        <f>IF(A400="","",DATE(YEAR(A400),MONTH(A400),1))</f>
        <v/>
      </c>
    </row>
    <row r="401">
      <c r="A401" s="48" t="n"/>
      <c r="B401" s="44" t="n"/>
      <c r="C401" s="44" t="n"/>
      <c r="D401" s="45" t="n"/>
      <c r="E401" s="44" t="n"/>
      <c r="F401" s="23">
        <f>IF(B401="","",IFERROR(INDEX(Cat_Tipo,MATCH(B401,Lista_Categorias,0)),"Deseo"))</f>
        <v/>
      </c>
      <c r="G401" s="23">
        <f>IF(A401="","",WEEKNUM(A401,2))</f>
        <v/>
      </c>
      <c r="H401" s="49">
        <f>IF(A401="","",DATE(YEAR(A401),MONTH(A401),1))</f>
        <v/>
      </c>
    </row>
    <row r="402">
      <c r="A402" s="48" t="n"/>
      <c r="B402" s="44" t="n"/>
      <c r="C402" s="44" t="n"/>
      <c r="D402" s="45" t="n"/>
      <c r="E402" s="44" t="n"/>
      <c r="F402" s="23">
        <f>IF(B402="","",IFERROR(INDEX(Cat_Tipo,MATCH(B402,Lista_Categorias,0)),"Deseo"))</f>
        <v/>
      </c>
      <c r="G402" s="23">
        <f>IF(A402="","",WEEKNUM(A402,2))</f>
        <v/>
      </c>
      <c r="H402" s="49">
        <f>IF(A402="","",DATE(YEAR(A402),MONTH(A402),1))</f>
        <v/>
      </c>
    </row>
    <row r="403">
      <c r="A403" s="48" t="n"/>
      <c r="B403" s="44" t="n"/>
      <c r="C403" s="44" t="n"/>
      <c r="D403" s="45" t="n"/>
      <c r="E403" s="44" t="n"/>
      <c r="F403" s="23">
        <f>IF(B403="","",IFERROR(INDEX(Cat_Tipo,MATCH(B403,Lista_Categorias,0)),"Deseo"))</f>
        <v/>
      </c>
      <c r="G403" s="23">
        <f>IF(A403="","",WEEKNUM(A403,2))</f>
        <v/>
      </c>
      <c r="H403" s="49">
        <f>IF(A403="","",DATE(YEAR(A403),MONTH(A403),1))</f>
        <v/>
      </c>
    </row>
    <row r="404">
      <c r="A404" s="48" t="n"/>
      <c r="B404" s="44" t="n"/>
      <c r="C404" s="44" t="n"/>
      <c r="D404" s="45" t="n"/>
      <c r="E404" s="44" t="n"/>
      <c r="F404" s="23">
        <f>IF(B404="","",IFERROR(INDEX(Cat_Tipo,MATCH(B404,Lista_Categorias,0)),"Deseo"))</f>
        <v/>
      </c>
      <c r="G404" s="23">
        <f>IF(A404="","",WEEKNUM(A404,2))</f>
        <v/>
      </c>
      <c r="H404" s="49">
        <f>IF(A404="","",DATE(YEAR(A404),MONTH(A404),1))</f>
        <v/>
      </c>
    </row>
    <row r="405">
      <c r="A405" s="48" t="n"/>
      <c r="B405" s="44" t="n"/>
      <c r="C405" s="44" t="n"/>
      <c r="D405" s="45" t="n"/>
      <c r="E405" s="44" t="n"/>
      <c r="F405" s="23">
        <f>IF(B405="","",IFERROR(INDEX(Cat_Tipo,MATCH(B405,Lista_Categorias,0)),"Deseo"))</f>
        <v/>
      </c>
      <c r="G405" s="23">
        <f>IF(A405="","",WEEKNUM(A405,2))</f>
        <v/>
      </c>
      <c r="H405" s="49">
        <f>IF(A405="","",DATE(YEAR(A405),MONTH(A405),1))</f>
        <v/>
      </c>
    </row>
    <row r="406">
      <c r="A406" s="48" t="n"/>
      <c r="B406" s="44" t="n"/>
      <c r="C406" s="44" t="n"/>
      <c r="D406" s="45" t="n"/>
      <c r="E406" s="44" t="n"/>
      <c r="F406" s="23">
        <f>IF(B406="","",IFERROR(INDEX(Cat_Tipo,MATCH(B406,Lista_Categorias,0)),"Deseo"))</f>
        <v/>
      </c>
      <c r="G406" s="23">
        <f>IF(A406="","",WEEKNUM(A406,2))</f>
        <v/>
      </c>
      <c r="H406" s="49">
        <f>IF(A406="","",DATE(YEAR(A406),MONTH(A406),1))</f>
        <v/>
      </c>
    </row>
    <row r="407">
      <c r="A407" s="48" t="n"/>
      <c r="B407" s="44" t="n"/>
      <c r="C407" s="44" t="n"/>
      <c r="D407" s="45" t="n"/>
      <c r="E407" s="44" t="n"/>
      <c r="F407" s="23">
        <f>IF(B407="","",IFERROR(INDEX(Cat_Tipo,MATCH(B407,Lista_Categorias,0)),"Deseo"))</f>
        <v/>
      </c>
      <c r="G407" s="23">
        <f>IF(A407="","",WEEKNUM(A407,2))</f>
        <v/>
      </c>
      <c r="H407" s="49">
        <f>IF(A407="","",DATE(YEAR(A407),MONTH(A407),1))</f>
        <v/>
      </c>
    </row>
    <row r="408">
      <c r="A408" s="48" t="n"/>
      <c r="B408" s="44" t="n"/>
      <c r="C408" s="44" t="n"/>
      <c r="D408" s="45" t="n"/>
      <c r="E408" s="44" t="n"/>
      <c r="F408" s="23">
        <f>IF(B408="","",IFERROR(INDEX(Cat_Tipo,MATCH(B408,Lista_Categorias,0)),"Deseo"))</f>
        <v/>
      </c>
      <c r="G408" s="23">
        <f>IF(A408="","",WEEKNUM(A408,2))</f>
        <v/>
      </c>
      <c r="H408" s="49">
        <f>IF(A408="","",DATE(YEAR(A408),MONTH(A408),1))</f>
        <v/>
      </c>
    </row>
    <row r="409">
      <c r="A409" s="48" t="n"/>
      <c r="B409" s="44" t="n"/>
      <c r="C409" s="44" t="n"/>
      <c r="D409" s="45" t="n"/>
      <c r="E409" s="44" t="n"/>
      <c r="F409" s="23">
        <f>IF(B409="","",IFERROR(INDEX(Cat_Tipo,MATCH(B409,Lista_Categorias,0)),"Deseo"))</f>
        <v/>
      </c>
      <c r="G409" s="23">
        <f>IF(A409="","",WEEKNUM(A409,2))</f>
        <v/>
      </c>
      <c r="H409" s="49">
        <f>IF(A409="","",DATE(YEAR(A409),MONTH(A409),1))</f>
        <v/>
      </c>
    </row>
    <row r="410">
      <c r="A410" s="48" t="n"/>
      <c r="B410" s="44" t="n"/>
      <c r="C410" s="44" t="n"/>
      <c r="D410" s="45" t="n"/>
      <c r="E410" s="44" t="n"/>
      <c r="F410" s="23">
        <f>IF(B410="","",IFERROR(INDEX(Cat_Tipo,MATCH(B410,Lista_Categorias,0)),"Deseo"))</f>
        <v/>
      </c>
      <c r="G410" s="23">
        <f>IF(A410="","",WEEKNUM(A410,2))</f>
        <v/>
      </c>
      <c r="H410" s="49">
        <f>IF(A410="","",DATE(YEAR(A410),MONTH(A410),1))</f>
        <v/>
      </c>
    </row>
    <row r="411">
      <c r="A411" s="48" t="n"/>
      <c r="B411" s="44" t="n"/>
      <c r="C411" s="44" t="n"/>
      <c r="D411" s="45" t="n"/>
      <c r="E411" s="44" t="n"/>
      <c r="F411" s="23">
        <f>IF(B411="","",IFERROR(INDEX(Cat_Tipo,MATCH(B411,Lista_Categorias,0)),"Deseo"))</f>
        <v/>
      </c>
      <c r="G411" s="23">
        <f>IF(A411="","",WEEKNUM(A411,2))</f>
        <v/>
      </c>
      <c r="H411" s="49">
        <f>IF(A411="","",DATE(YEAR(A411),MONTH(A411),1))</f>
        <v/>
      </c>
    </row>
    <row r="412">
      <c r="A412" s="48" t="n"/>
      <c r="B412" s="44" t="n"/>
      <c r="C412" s="44" t="n"/>
      <c r="D412" s="45" t="n"/>
      <c r="E412" s="44" t="n"/>
      <c r="F412" s="23">
        <f>IF(B412="","",IFERROR(INDEX(Cat_Tipo,MATCH(B412,Lista_Categorias,0)),"Deseo"))</f>
        <v/>
      </c>
      <c r="G412" s="23">
        <f>IF(A412="","",WEEKNUM(A412,2))</f>
        <v/>
      </c>
      <c r="H412" s="49">
        <f>IF(A412="","",DATE(YEAR(A412),MONTH(A412),1))</f>
        <v/>
      </c>
    </row>
    <row r="413">
      <c r="A413" s="48" t="n"/>
      <c r="B413" s="44" t="n"/>
      <c r="C413" s="44" t="n"/>
      <c r="D413" s="45" t="n"/>
      <c r="E413" s="44" t="n"/>
      <c r="F413" s="23">
        <f>IF(B413="","",IFERROR(INDEX(Cat_Tipo,MATCH(B413,Lista_Categorias,0)),"Deseo"))</f>
        <v/>
      </c>
      <c r="G413" s="23">
        <f>IF(A413="","",WEEKNUM(A413,2))</f>
        <v/>
      </c>
      <c r="H413" s="49">
        <f>IF(A413="","",DATE(YEAR(A413),MONTH(A413),1))</f>
        <v/>
      </c>
    </row>
    <row r="414">
      <c r="A414" s="48" t="n"/>
      <c r="B414" s="44" t="n"/>
      <c r="C414" s="44" t="n"/>
      <c r="D414" s="45" t="n"/>
      <c r="E414" s="44" t="n"/>
      <c r="F414" s="23">
        <f>IF(B414="","",IFERROR(INDEX(Cat_Tipo,MATCH(B414,Lista_Categorias,0)),"Deseo"))</f>
        <v/>
      </c>
      <c r="G414" s="23">
        <f>IF(A414="","",WEEKNUM(A414,2))</f>
        <v/>
      </c>
      <c r="H414" s="49">
        <f>IF(A414="","",DATE(YEAR(A414),MONTH(A414),1))</f>
        <v/>
      </c>
    </row>
    <row r="415">
      <c r="A415" s="48" t="n"/>
      <c r="B415" s="44" t="n"/>
      <c r="C415" s="44" t="n"/>
      <c r="D415" s="45" t="n"/>
      <c r="E415" s="44" t="n"/>
      <c r="F415" s="23">
        <f>IF(B415="","",IFERROR(INDEX(Cat_Tipo,MATCH(B415,Lista_Categorias,0)),"Deseo"))</f>
        <v/>
      </c>
      <c r="G415" s="23">
        <f>IF(A415="","",WEEKNUM(A415,2))</f>
        <v/>
      </c>
      <c r="H415" s="49">
        <f>IF(A415="","",DATE(YEAR(A415),MONTH(A415),1))</f>
        <v/>
      </c>
    </row>
    <row r="416">
      <c r="A416" s="48" t="n"/>
      <c r="B416" s="44" t="n"/>
      <c r="C416" s="44" t="n"/>
      <c r="D416" s="45" t="n"/>
      <c r="E416" s="44" t="n"/>
      <c r="F416" s="23">
        <f>IF(B416="","",IFERROR(INDEX(Cat_Tipo,MATCH(B416,Lista_Categorias,0)),"Deseo"))</f>
        <v/>
      </c>
      <c r="G416" s="23">
        <f>IF(A416="","",WEEKNUM(A416,2))</f>
        <v/>
      </c>
      <c r="H416" s="49">
        <f>IF(A416="","",DATE(YEAR(A416),MONTH(A416),1))</f>
        <v/>
      </c>
    </row>
    <row r="417">
      <c r="A417" s="48" t="n"/>
      <c r="B417" s="44" t="n"/>
      <c r="C417" s="44" t="n"/>
      <c r="D417" s="45" t="n"/>
      <c r="E417" s="44" t="n"/>
      <c r="F417" s="23">
        <f>IF(B417="","",IFERROR(INDEX(Cat_Tipo,MATCH(B417,Lista_Categorias,0)),"Deseo"))</f>
        <v/>
      </c>
      <c r="G417" s="23">
        <f>IF(A417="","",WEEKNUM(A417,2))</f>
        <v/>
      </c>
      <c r="H417" s="49">
        <f>IF(A417="","",DATE(YEAR(A417),MONTH(A417),1))</f>
        <v/>
      </c>
    </row>
    <row r="418">
      <c r="A418" s="48" t="n"/>
      <c r="B418" s="44" t="n"/>
      <c r="C418" s="44" t="n"/>
      <c r="D418" s="45" t="n"/>
      <c r="E418" s="44" t="n"/>
      <c r="F418" s="23">
        <f>IF(B418="","",IFERROR(INDEX(Cat_Tipo,MATCH(B418,Lista_Categorias,0)),"Deseo"))</f>
        <v/>
      </c>
      <c r="G418" s="23">
        <f>IF(A418="","",WEEKNUM(A418,2))</f>
        <v/>
      </c>
      <c r="H418" s="49">
        <f>IF(A418="","",DATE(YEAR(A418),MONTH(A418),1))</f>
        <v/>
      </c>
    </row>
    <row r="419">
      <c r="A419" s="48" t="n"/>
      <c r="B419" s="44" t="n"/>
      <c r="C419" s="44" t="n"/>
      <c r="D419" s="45" t="n"/>
      <c r="E419" s="44" t="n"/>
      <c r="F419" s="23">
        <f>IF(B419="","",IFERROR(INDEX(Cat_Tipo,MATCH(B419,Lista_Categorias,0)),"Deseo"))</f>
        <v/>
      </c>
      <c r="G419" s="23">
        <f>IF(A419="","",WEEKNUM(A419,2))</f>
        <v/>
      </c>
      <c r="H419" s="49">
        <f>IF(A419="","",DATE(YEAR(A419),MONTH(A419),1))</f>
        <v/>
      </c>
    </row>
    <row r="420">
      <c r="A420" s="48" t="n"/>
      <c r="B420" s="44" t="n"/>
      <c r="C420" s="44" t="n"/>
      <c r="D420" s="45" t="n"/>
      <c r="E420" s="44" t="n"/>
      <c r="F420" s="23">
        <f>IF(B420="","",IFERROR(INDEX(Cat_Tipo,MATCH(B420,Lista_Categorias,0)),"Deseo"))</f>
        <v/>
      </c>
      <c r="G420" s="23">
        <f>IF(A420="","",WEEKNUM(A420,2))</f>
        <v/>
      </c>
      <c r="H420" s="49">
        <f>IF(A420="","",DATE(YEAR(A420),MONTH(A420),1))</f>
        <v/>
      </c>
    </row>
    <row r="421">
      <c r="A421" s="48" t="n"/>
      <c r="B421" s="44" t="n"/>
      <c r="C421" s="44" t="n"/>
      <c r="D421" s="45" t="n"/>
      <c r="E421" s="44" t="n"/>
      <c r="F421" s="23">
        <f>IF(B421="","",IFERROR(INDEX(Cat_Tipo,MATCH(B421,Lista_Categorias,0)),"Deseo"))</f>
        <v/>
      </c>
      <c r="G421" s="23">
        <f>IF(A421="","",WEEKNUM(A421,2))</f>
        <v/>
      </c>
      <c r="H421" s="49">
        <f>IF(A421="","",DATE(YEAR(A421),MONTH(A421),1))</f>
        <v/>
      </c>
    </row>
    <row r="422">
      <c r="A422" s="48" t="n"/>
      <c r="B422" s="44" t="n"/>
      <c r="C422" s="44" t="n"/>
      <c r="D422" s="45" t="n"/>
      <c r="E422" s="44" t="n"/>
      <c r="F422" s="23">
        <f>IF(B422="","",IFERROR(INDEX(Cat_Tipo,MATCH(B422,Lista_Categorias,0)),"Deseo"))</f>
        <v/>
      </c>
      <c r="G422" s="23">
        <f>IF(A422="","",WEEKNUM(A422,2))</f>
        <v/>
      </c>
      <c r="H422" s="49">
        <f>IF(A422="","",DATE(YEAR(A422),MONTH(A422),1))</f>
        <v/>
      </c>
    </row>
    <row r="423">
      <c r="A423" s="48" t="n"/>
      <c r="B423" s="44" t="n"/>
      <c r="C423" s="44" t="n"/>
      <c r="D423" s="45" t="n"/>
      <c r="E423" s="44" t="n"/>
      <c r="F423" s="23">
        <f>IF(B423="","",IFERROR(INDEX(Cat_Tipo,MATCH(B423,Lista_Categorias,0)),"Deseo"))</f>
        <v/>
      </c>
      <c r="G423" s="23">
        <f>IF(A423="","",WEEKNUM(A423,2))</f>
        <v/>
      </c>
      <c r="H423" s="49">
        <f>IF(A423="","",DATE(YEAR(A423),MONTH(A423),1))</f>
        <v/>
      </c>
    </row>
    <row r="424">
      <c r="A424" s="48" t="n"/>
      <c r="B424" s="44" t="n"/>
      <c r="C424" s="44" t="n"/>
      <c r="D424" s="45" t="n"/>
      <c r="E424" s="44" t="n"/>
      <c r="F424" s="23">
        <f>IF(B424="","",IFERROR(INDEX(Cat_Tipo,MATCH(B424,Lista_Categorias,0)),"Deseo"))</f>
        <v/>
      </c>
      <c r="G424" s="23">
        <f>IF(A424="","",WEEKNUM(A424,2))</f>
        <v/>
      </c>
      <c r="H424" s="49">
        <f>IF(A424="","",DATE(YEAR(A424),MONTH(A424),1))</f>
        <v/>
      </c>
    </row>
    <row r="425">
      <c r="A425" s="48" t="n"/>
      <c r="B425" s="44" t="n"/>
      <c r="C425" s="44" t="n"/>
      <c r="D425" s="45" t="n"/>
      <c r="E425" s="44" t="n"/>
      <c r="F425" s="23">
        <f>IF(B425="","",IFERROR(INDEX(Cat_Tipo,MATCH(B425,Lista_Categorias,0)),"Deseo"))</f>
        <v/>
      </c>
      <c r="G425" s="23">
        <f>IF(A425="","",WEEKNUM(A425,2))</f>
        <v/>
      </c>
      <c r="H425" s="49">
        <f>IF(A425="","",DATE(YEAR(A425),MONTH(A425),1))</f>
        <v/>
      </c>
    </row>
    <row r="426">
      <c r="A426" s="48" t="n"/>
      <c r="B426" s="44" t="n"/>
      <c r="C426" s="44" t="n"/>
      <c r="D426" s="45" t="n"/>
      <c r="E426" s="44" t="n"/>
      <c r="F426" s="23">
        <f>IF(B426="","",IFERROR(INDEX(Cat_Tipo,MATCH(B426,Lista_Categorias,0)),"Deseo"))</f>
        <v/>
      </c>
      <c r="G426" s="23">
        <f>IF(A426="","",WEEKNUM(A426,2))</f>
        <v/>
      </c>
      <c r="H426" s="49">
        <f>IF(A426="","",DATE(YEAR(A426),MONTH(A426),1))</f>
        <v/>
      </c>
    </row>
    <row r="427">
      <c r="A427" s="48" t="n"/>
      <c r="B427" s="44" t="n"/>
      <c r="C427" s="44" t="n"/>
      <c r="D427" s="45" t="n"/>
      <c r="E427" s="44" t="n"/>
      <c r="F427" s="23">
        <f>IF(B427="","",IFERROR(INDEX(Cat_Tipo,MATCH(B427,Lista_Categorias,0)),"Deseo"))</f>
        <v/>
      </c>
      <c r="G427" s="23">
        <f>IF(A427="","",WEEKNUM(A427,2))</f>
        <v/>
      </c>
      <c r="H427" s="49">
        <f>IF(A427="","",DATE(YEAR(A427),MONTH(A427),1))</f>
        <v/>
      </c>
    </row>
    <row r="428">
      <c r="A428" s="48" t="n"/>
      <c r="B428" s="44" t="n"/>
      <c r="C428" s="44" t="n"/>
      <c r="D428" s="45" t="n"/>
      <c r="E428" s="44" t="n"/>
      <c r="F428" s="23">
        <f>IF(B428="","",IFERROR(INDEX(Cat_Tipo,MATCH(B428,Lista_Categorias,0)),"Deseo"))</f>
        <v/>
      </c>
      <c r="G428" s="23">
        <f>IF(A428="","",WEEKNUM(A428,2))</f>
        <v/>
      </c>
      <c r="H428" s="49">
        <f>IF(A428="","",DATE(YEAR(A428),MONTH(A428),1))</f>
        <v/>
      </c>
    </row>
    <row r="429">
      <c r="A429" s="48" t="n"/>
      <c r="B429" s="44" t="n"/>
      <c r="C429" s="44" t="n"/>
      <c r="D429" s="45" t="n"/>
      <c r="E429" s="44" t="n"/>
      <c r="F429" s="23">
        <f>IF(B429="","",IFERROR(INDEX(Cat_Tipo,MATCH(B429,Lista_Categorias,0)),"Deseo"))</f>
        <v/>
      </c>
      <c r="G429" s="23">
        <f>IF(A429="","",WEEKNUM(A429,2))</f>
        <v/>
      </c>
      <c r="H429" s="49">
        <f>IF(A429="","",DATE(YEAR(A429),MONTH(A429),1))</f>
        <v/>
      </c>
    </row>
    <row r="430">
      <c r="A430" s="48" t="n"/>
      <c r="B430" s="44" t="n"/>
      <c r="C430" s="44" t="n"/>
      <c r="D430" s="45" t="n"/>
      <c r="E430" s="44" t="n"/>
      <c r="F430" s="23">
        <f>IF(B430="","",IFERROR(INDEX(Cat_Tipo,MATCH(B430,Lista_Categorias,0)),"Deseo"))</f>
        <v/>
      </c>
      <c r="G430" s="23">
        <f>IF(A430="","",WEEKNUM(A430,2))</f>
        <v/>
      </c>
      <c r="H430" s="49">
        <f>IF(A430="","",DATE(YEAR(A430),MONTH(A430),1))</f>
        <v/>
      </c>
    </row>
    <row r="431">
      <c r="A431" s="48" t="n"/>
      <c r="B431" s="44" t="n"/>
      <c r="C431" s="44" t="n"/>
      <c r="D431" s="45" t="n"/>
      <c r="E431" s="44" t="n"/>
      <c r="F431" s="23">
        <f>IF(B431="","",IFERROR(INDEX(Cat_Tipo,MATCH(B431,Lista_Categorias,0)),"Deseo"))</f>
        <v/>
      </c>
      <c r="G431" s="23">
        <f>IF(A431="","",WEEKNUM(A431,2))</f>
        <v/>
      </c>
      <c r="H431" s="49">
        <f>IF(A431="","",DATE(YEAR(A431),MONTH(A431),1))</f>
        <v/>
      </c>
    </row>
    <row r="432">
      <c r="A432" s="48" t="n"/>
      <c r="B432" s="44" t="n"/>
      <c r="C432" s="44" t="n"/>
      <c r="D432" s="45" t="n"/>
      <c r="E432" s="44" t="n"/>
      <c r="F432" s="23">
        <f>IF(B432="","",IFERROR(INDEX(Cat_Tipo,MATCH(B432,Lista_Categorias,0)),"Deseo"))</f>
        <v/>
      </c>
      <c r="G432" s="23">
        <f>IF(A432="","",WEEKNUM(A432,2))</f>
        <v/>
      </c>
      <c r="H432" s="49">
        <f>IF(A432="","",DATE(YEAR(A432),MONTH(A432),1))</f>
        <v/>
      </c>
    </row>
    <row r="433">
      <c r="A433" s="48" t="n"/>
      <c r="B433" s="44" t="n"/>
      <c r="C433" s="44" t="n"/>
      <c r="D433" s="45" t="n"/>
      <c r="E433" s="44" t="n"/>
      <c r="F433" s="23">
        <f>IF(B433="","",IFERROR(INDEX(Cat_Tipo,MATCH(B433,Lista_Categorias,0)),"Deseo"))</f>
        <v/>
      </c>
      <c r="G433" s="23">
        <f>IF(A433="","",WEEKNUM(A433,2))</f>
        <v/>
      </c>
      <c r="H433" s="49">
        <f>IF(A433="","",DATE(YEAR(A433),MONTH(A433),1))</f>
        <v/>
      </c>
    </row>
    <row r="434">
      <c r="A434" s="48" t="n"/>
      <c r="B434" s="44" t="n"/>
      <c r="C434" s="44" t="n"/>
      <c r="D434" s="45" t="n"/>
      <c r="E434" s="44" t="n"/>
      <c r="F434" s="23">
        <f>IF(B434="","",IFERROR(INDEX(Cat_Tipo,MATCH(B434,Lista_Categorias,0)),"Deseo"))</f>
        <v/>
      </c>
      <c r="G434" s="23">
        <f>IF(A434="","",WEEKNUM(A434,2))</f>
        <v/>
      </c>
      <c r="H434" s="49">
        <f>IF(A434="","",DATE(YEAR(A434),MONTH(A434),1))</f>
        <v/>
      </c>
    </row>
    <row r="435">
      <c r="A435" s="48" t="n"/>
      <c r="B435" s="44" t="n"/>
      <c r="C435" s="44" t="n"/>
      <c r="D435" s="45" t="n"/>
      <c r="E435" s="44" t="n"/>
      <c r="F435" s="23">
        <f>IF(B435="","",IFERROR(INDEX(Cat_Tipo,MATCH(B435,Lista_Categorias,0)),"Deseo"))</f>
        <v/>
      </c>
      <c r="G435" s="23">
        <f>IF(A435="","",WEEKNUM(A435,2))</f>
        <v/>
      </c>
      <c r="H435" s="49">
        <f>IF(A435="","",DATE(YEAR(A435),MONTH(A435),1))</f>
        <v/>
      </c>
    </row>
    <row r="436">
      <c r="A436" s="48" t="n"/>
      <c r="B436" s="44" t="n"/>
      <c r="C436" s="44" t="n"/>
      <c r="D436" s="45" t="n"/>
      <c r="E436" s="44" t="n"/>
      <c r="F436" s="23">
        <f>IF(B436="","",IFERROR(INDEX(Cat_Tipo,MATCH(B436,Lista_Categorias,0)),"Deseo"))</f>
        <v/>
      </c>
      <c r="G436" s="23">
        <f>IF(A436="","",WEEKNUM(A436,2))</f>
        <v/>
      </c>
      <c r="H436" s="49">
        <f>IF(A436="","",DATE(YEAR(A436),MONTH(A436),1))</f>
        <v/>
      </c>
    </row>
    <row r="437">
      <c r="A437" s="48" t="n"/>
      <c r="B437" s="44" t="n"/>
      <c r="C437" s="44" t="n"/>
      <c r="D437" s="45" t="n"/>
      <c r="E437" s="44" t="n"/>
      <c r="F437" s="23">
        <f>IF(B437="","",IFERROR(INDEX(Cat_Tipo,MATCH(B437,Lista_Categorias,0)),"Deseo"))</f>
        <v/>
      </c>
      <c r="G437" s="23">
        <f>IF(A437="","",WEEKNUM(A437,2))</f>
        <v/>
      </c>
      <c r="H437" s="49">
        <f>IF(A437="","",DATE(YEAR(A437),MONTH(A437),1))</f>
        <v/>
      </c>
    </row>
    <row r="438">
      <c r="A438" s="48" t="n"/>
      <c r="B438" s="44" t="n"/>
      <c r="C438" s="44" t="n"/>
      <c r="D438" s="45" t="n"/>
      <c r="E438" s="44" t="n"/>
      <c r="F438" s="23">
        <f>IF(B438="","",IFERROR(INDEX(Cat_Tipo,MATCH(B438,Lista_Categorias,0)),"Deseo"))</f>
        <v/>
      </c>
      <c r="G438" s="23">
        <f>IF(A438="","",WEEKNUM(A438,2))</f>
        <v/>
      </c>
      <c r="H438" s="49">
        <f>IF(A438="","",DATE(YEAR(A438),MONTH(A438),1))</f>
        <v/>
      </c>
    </row>
    <row r="439">
      <c r="A439" s="48" t="n"/>
      <c r="B439" s="44" t="n"/>
      <c r="C439" s="44" t="n"/>
      <c r="D439" s="45" t="n"/>
      <c r="E439" s="44" t="n"/>
      <c r="F439" s="23">
        <f>IF(B439="","",IFERROR(INDEX(Cat_Tipo,MATCH(B439,Lista_Categorias,0)),"Deseo"))</f>
        <v/>
      </c>
      <c r="G439" s="23">
        <f>IF(A439="","",WEEKNUM(A439,2))</f>
        <v/>
      </c>
      <c r="H439" s="49">
        <f>IF(A439="","",DATE(YEAR(A439),MONTH(A439),1))</f>
        <v/>
      </c>
    </row>
    <row r="440">
      <c r="A440" s="48" t="n"/>
      <c r="B440" s="44" t="n"/>
      <c r="C440" s="44" t="n"/>
      <c r="D440" s="45" t="n"/>
      <c r="E440" s="44" t="n"/>
      <c r="F440" s="23">
        <f>IF(B440="","",IFERROR(INDEX(Cat_Tipo,MATCH(B440,Lista_Categorias,0)),"Deseo"))</f>
        <v/>
      </c>
      <c r="G440" s="23">
        <f>IF(A440="","",WEEKNUM(A440,2))</f>
        <v/>
      </c>
      <c r="H440" s="49">
        <f>IF(A440="","",DATE(YEAR(A440),MONTH(A440),1))</f>
        <v/>
      </c>
    </row>
    <row r="441">
      <c r="A441" s="48" t="n"/>
      <c r="B441" s="44" t="n"/>
      <c r="C441" s="44" t="n"/>
      <c r="D441" s="45" t="n"/>
      <c r="E441" s="44" t="n"/>
      <c r="F441" s="23">
        <f>IF(B441="","",IFERROR(INDEX(Cat_Tipo,MATCH(B441,Lista_Categorias,0)),"Deseo"))</f>
        <v/>
      </c>
      <c r="G441" s="23">
        <f>IF(A441="","",WEEKNUM(A441,2))</f>
        <v/>
      </c>
      <c r="H441" s="49">
        <f>IF(A441="","",DATE(YEAR(A441),MONTH(A441),1))</f>
        <v/>
      </c>
    </row>
    <row r="442">
      <c r="A442" s="48" t="n"/>
      <c r="B442" s="44" t="n"/>
      <c r="C442" s="44" t="n"/>
      <c r="D442" s="45" t="n"/>
      <c r="E442" s="44" t="n"/>
      <c r="F442" s="23">
        <f>IF(B442="","",IFERROR(INDEX(Cat_Tipo,MATCH(B442,Lista_Categorias,0)),"Deseo"))</f>
        <v/>
      </c>
      <c r="G442" s="23">
        <f>IF(A442="","",WEEKNUM(A442,2))</f>
        <v/>
      </c>
      <c r="H442" s="49">
        <f>IF(A442="","",DATE(YEAR(A442),MONTH(A442),1))</f>
        <v/>
      </c>
    </row>
    <row r="443">
      <c r="A443" s="48" t="n"/>
      <c r="B443" s="44" t="n"/>
      <c r="C443" s="44" t="n"/>
      <c r="D443" s="45" t="n"/>
      <c r="E443" s="44" t="n"/>
      <c r="F443" s="23">
        <f>IF(B443="","",IFERROR(INDEX(Cat_Tipo,MATCH(B443,Lista_Categorias,0)),"Deseo"))</f>
        <v/>
      </c>
      <c r="G443" s="23">
        <f>IF(A443="","",WEEKNUM(A443,2))</f>
        <v/>
      </c>
      <c r="H443" s="49">
        <f>IF(A443="","",DATE(YEAR(A443),MONTH(A443),1))</f>
        <v/>
      </c>
    </row>
    <row r="444">
      <c r="A444" s="48" t="n"/>
      <c r="B444" s="44" t="n"/>
      <c r="C444" s="44" t="n"/>
      <c r="D444" s="45" t="n"/>
      <c r="E444" s="44" t="n"/>
      <c r="F444" s="23">
        <f>IF(B444="","",IFERROR(INDEX(Cat_Tipo,MATCH(B444,Lista_Categorias,0)),"Deseo"))</f>
        <v/>
      </c>
      <c r="G444" s="23">
        <f>IF(A444="","",WEEKNUM(A444,2))</f>
        <v/>
      </c>
      <c r="H444" s="49">
        <f>IF(A444="","",DATE(YEAR(A444),MONTH(A444),1))</f>
        <v/>
      </c>
    </row>
    <row r="445">
      <c r="A445" s="48" t="n"/>
      <c r="B445" s="44" t="n"/>
      <c r="C445" s="44" t="n"/>
      <c r="D445" s="45" t="n"/>
      <c r="E445" s="44" t="n"/>
      <c r="F445" s="23">
        <f>IF(B445="","",IFERROR(INDEX(Cat_Tipo,MATCH(B445,Lista_Categorias,0)),"Deseo"))</f>
        <v/>
      </c>
      <c r="G445" s="23">
        <f>IF(A445="","",WEEKNUM(A445,2))</f>
        <v/>
      </c>
      <c r="H445" s="49">
        <f>IF(A445="","",DATE(YEAR(A445),MONTH(A445),1))</f>
        <v/>
      </c>
    </row>
    <row r="446">
      <c r="A446" s="48" t="n"/>
      <c r="B446" s="44" t="n"/>
      <c r="C446" s="44" t="n"/>
      <c r="D446" s="45" t="n"/>
      <c r="E446" s="44" t="n"/>
      <c r="F446" s="23">
        <f>IF(B446="","",IFERROR(INDEX(Cat_Tipo,MATCH(B446,Lista_Categorias,0)),"Deseo"))</f>
        <v/>
      </c>
      <c r="G446" s="23">
        <f>IF(A446="","",WEEKNUM(A446,2))</f>
        <v/>
      </c>
      <c r="H446" s="49">
        <f>IF(A446="","",DATE(YEAR(A446),MONTH(A446),1))</f>
        <v/>
      </c>
    </row>
    <row r="447">
      <c r="A447" s="48" t="n"/>
      <c r="B447" s="44" t="n"/>
      <c r="C447" s="44" t="n"/>
      <c r="D447" s="45" t="n"/>
      <c r="E447" s="44" t="n"/>
      <c r="F447" s="23">
        <f>IF(B447="","",IFERROR(INDEX(Cat_Tipo,MATCH(B447,Lista_Categorias,0)),"Deseo"))</f>
        <v/>
      </c>
      <c r="G447" s="23">
        <f>IF(A447="","",WEEKNUM(A447,2))</f>
        <v/>
      </c>
      <c r="H447" s="49">
        <f>IF(A447="","",DATE(YEAR(A447),MONTH(A447),1))</f>
        <v/>
      </c>
    </row>
    <row r="448">
      <c r="A448" s="48" t="n"/>
      <c r="B448" s="44" t="n"/>
      <c r="C448" s="44" t="n"/>
      <c r="D448" s="45" t="n"/>
      <c r="E448" s="44" t="n"/>
      <c r="F448" s="23">
        <f>IF(B448="","",IFERROR(INDEX(Cat_Tipo,MATCH(B448,Lista_Categorias,0)),"Deseo"))</f>
        <v/>
      </c>
      <c r="G448" s="23">
        <f>IF(A448="","",WEEKNUM(A448,2))</f>
        <v/>
      </c>
      <c r="H448" s="49">
        <f>IF(A448="","",DATE(YEAR(A448),MONTH(A448),1))</f>
        <v/>
      </c>
    </row>
    <row r="449">
      <c r="A449" s="48" t="n"/>
      <c r="B449" s="44" t="n"/>
      <c r="C449" s="44" t="n"/>
      <c r="D449" s="45" t="n"/>
      <c r="E449" s="44" t="n"/>
      <c r="F449" s="23">
        <f>IF(B449="","",IFERROR(INDEX(Cat_Tipo,MATCH(B449,Lista_Categorias,0)),"Deseo"))</f>
        <v/>
      </c>
      <c r="G449" s="23">
        <f>IF(A449="","",WEEKNUM(A449,2))</f>
        <v/>
      </c>
      <c r="H449" s="49">
        <f>IF(A449="","",DATE(YEAR(A449),MONTH(A449),1))</f>
        <v/>
      </c>
    </row>
    <row r="450">
      <c r="A450" s="48" t="n"/>
      <c r="B450" s="44" t="n"/>
      <c r="C450" s="44" t="n"/>
      <c r="D450" s="45" t="n"/>
      <c r="E450" s="44" t="n"/>
      <c r="F450" s="23">
        <f>IF(B450="","",IFERROR(INDEX(Cat_Tipo,MATCH(B450,Lista_Categorias,0)),"Deseo"))</f>
        <v/>
      </c>
      <c r="G450" s="23">
        <f>IF(A450="","",WEEKNUM(A450,2))</f>
        <v/>
      </c>
      <c r="H450" s="49">
        <f>IF(A450="","",DATE(YEAR(A450),MONTH(A450),1))</f>
        <v/>
      </c>
    </row>
    <row r="451">
      <c r="A451" s="48" t="n"/>
      <c r="B451" s="44" t="n"/>
      <c r="C451" s="44" t="n"/>
      <c r="D451" s="45" t="n"/>
      <c r="E451" s="44" t="n"/>
      <c r="F451" s="23">
        <f>IF(B451="","",IFERROR(INDEX(Cat_Tipo,MATCH(B451,Lista_Categorias,0)),"Deseo"))</f>
        <v/>
      </c>
      <c r="G451" s="23">
        <f>IF(A451="","",WEEKNUM(A451,2))</f>
        <v/>
      </c>
      <c r="H451" s="49">
        <f>IF(A451="","",DATE(YEAR(A451),MONTH(A451),1))</f>
        <v/>
      </c>
    </row>
    <row r="452">
      <c r="A452" s="48" t="n"/>
      <c r="B452" s="44" t="n"/>
      <c r="C452" s="44" t="n"/>
      <c r="D452" s="45" t="n"/>
      <c r="E452" s="44" t="n"/>
      <c r="F452" s="23">
        <f>IF(B452="","",IFERROR(INDEX(Cat_Tipo,MATCH(B452,Lista_Categorias,0)),"Deseo"))</f>
        <v/>
      </c>
      <c r="G452" s="23">
        <f>IF(A452="","",WEEKNUM(A452,2))</f>
        <v/>
      </c>
      <c r="H452" s="49">
        <f>IF(A452="","",DATE(YEAR(A452),MONTH(A452),1))</f>
        <v/>
      </c>
    </row>
    <row r="453">
      <c r="A453" s="48" t="n"/>
      <c r="B453" s="44" t="n"/>
      <c r="C453" s="44" t="n"/>
      <c r="D453" s="45" t="n"/>
      <c r="E453" s="44" t="n"/>
      <c r="F453" s="23">
        <f>IF(B453="","",IFERROR(INDEX(Cat_Tipo,MATCH(B453,Lista_Categorias,0)),"Deseo"))</f>
        <v/>
      </c>
      <c r="G453" s="23">
        <f>IF(A453="","",WEEKNUM(A453,2))</f>
        <v/>
      </c>
      <c r="H453" s="49">
        <f>IF(A453="","",DATE(YEAR(A453),MONTH(A453),1))</f>
        <v/>
      </c>
    </row>
    <row r="454">
      <c r="A454" s="48" t="n"/>
      <c r="B454" s="44" t="n"/>
      <c r="C454" s="44" t="n"/>
      <c r="D454" s="45" t="n"/>
      <c r="E454" s="44" t="n"/>
      <c r="F454" s="23">
        <f>IF(B454="","",IFERROR(INDEX(Cat_Tipo,MATCH(B454,Lista_Categorias,0)),"Deseo"))</f>
        <v/>
      </c>
      <c r="G454" s="23">
        <f>IF(A454="","",WEEKNUM(A454,2))</f>
        <v/>
      </c>
      <c r="H454" s="49">
        <f>IF(A454="","",DATE(YEAR(A454),MONTH(A454),1))</f>
        <v/>
      </c>
    </row>
    <row r="455">
      <c r="A455" s="48" t="n"/>
      <c r="B455" s="44" t="n"/>
      <c r="C455" s="44" t="n"/>
      <c r="D455" s="45" t="n"/>
      <c r="E455" s="44" t="n"/>
      <c r="F455" s="23">
        <f>IF(B455="","",IFERROR(INDEX(Cat_Tipo,MATCH(B455,Lista_Categorias,0)),"Deseo"))</f>
        <v/>
      </c>
      <c r="G455" s="23">
        <f>IF(A455="","",WEEKNUM(A455,2))</f>
        <v/>
      </c>
      <c r="H455" s="49">
        <f>IF(A455="","",DATE(YEAR(A455),MONTH(A455),1))</f>
        <v/>
      </c>
    </row>
    <row r="456">
      <c r="A456" s="48" t="n"/>
      <c r="B456" s="44" t="n"/>
      <c r="C456" s="44" t="n"/>
      <c r="D456" s="45" t="n"/>
      <c r="E456" s="44" t="n"/>
      <c r="F456" s="23">
        <f>IF(B456="","",IFERROR(INDEX(Cat_Tipo,MATCH(B456,Lista_Categorias,0)),"Deseo"))</f>
        <v/>
      </c>
      <c r="G456" s="23">
        <f>IF(A456="","",WEEKNUM(A456,2))</f>
        <v/>
      </c>
      <c r="H456" s="49">
        <f>IF(A456="","",DATE(YEAR(A456),MONTH(A456),1))</f>
        <v/>
      </c>
    </row>
    <row r="457">
      <c r="A457" s="48" t="n"/>
      <c r="B457" s="44" t="n"/>
      <c r="C457" s="44" t="n"/>
      <c r="D457" s="45" t="n"/>
      <c r="E457" s="44" t="n"/>
      <c r="F457" s="23">
        <f>IF(B457="","",IFERROR(INDEX(Cat_Tipo,MATCH(B457,Lista_Categorias,0)),"Deseo"))</f>
        <v/>
      </c>
      <c r="G457" s="23">
        <f>IF(A457="","",WEEKNUM(A457,2))</f>
        <v/>
      </c>
      <c r="H457" s="49">
        <f>IF(A457="","",DATE(YEAR(A457),MONTH(A457),1))</f>
        <v/>
      </c>
    </row>
    <row r="458">
      <c r="A458" s="48" t="n"/>
      <c r="B458" s="44" t="n"/>
      <c r="C458" s="44" t="n"/>
      <c r="D458" s="45" t="n"/>
      <c r="E458" s="44" t="n"/>
      <c r="F458" s="23">
        <f>IF(B458="","",IFERROR(INDEX(Cat_Tipo,MATCH(B458,Lista_Categorias,0)),"Deseo"))</f>
        <v/>
      </c>
      <c r="G458" s="23">
        <f>IF(A458="","",WEEKNUM(A458,2))</f>
        <v/>
      </c>
      <c r="H458" s="49">
        <f>IF(A458="","",DATE(YEAR(A458),MONTH(A458),1))</f>
        <v/>
      </c>
    </row>
    <row r="459">
      <c r="A459" s="48" t="n"/>
      <c r="B459" s="44" t="n"/>
      <c r="C459" s="44" t="n"/>
      <c r="D459" s="45" t="n"/>
      <c r="E459" s="44" t="n"/>
      <c r="F459" s="23">
        <f>IF(B459="","",IFERROR(INDEX(Cat_Tipo,MATCH(B459,Lista_Categorias,0)),"Deseo"))</f>
        <v/>
      </c>
      <c r="G459" s="23">
        <f>IF(A459="","",WEEKNUM(A459,2))</f>
        <v/>
      </c>
      <c r="H459" s="49">
        <f>IF(A459="","",DATE(YEAR(A459),MONTH(A459),1))</f>
        <v/>
      </c>
    </row>
    <row r="460">
      <c r="A460" s="48" t="n"/>
      <c r="B460" s="44" t="n"/>
      <c r="C460" s="44" t="n"/>
      <c r="D460" s="45" t="n"/>
      <c r="E460" s="44" t="n"/>
      <c r="F460" s="23">
        <f>IF(B460="","",IFERROR(INDEX(Cat_Tipo,MATCH(B460,Lista_Categorias,0)),"Deseo"))</f>
        <v/>
      </c>
      <c r="G460" s="23">
        <f>IF(A460="","",WEEKNUM(A460,2))</f>
        <v/>
      </c>
      <c r="H460" s="49">
        <f>IF(A460="","",DATE(YEAR(A460),MONTH(A460),1))</f>
        <v/>
      </c>
    </row>
    <row r="461">
      <c r="A461" s="48" t="n"/>
      <c r="B461" s="44" t="n"/>
      <c r="C461" s="44" t="n"/>
      <c r="D461" s="45" t="n"/>
      <c r="E461" s="44" t="n"/>
      <c r="F461" s="23">
        <f>IF(B461="","",IFERROR(INDEX(Cat_Tipo,MATCH(B461,Lista_Categorias,0)),"Deseo"))</f>
        <v/>
      </c>
      <c r="G461" s="23">
        <f>IF(A461="","",WEEKNUM(A461,2))</f>
        <v/>
      </c>
      <c r="H461" s="49">
        <f>IF(A461="","",DATE(YEAR(A461),MONTH(A461),1))</f>
        <v/>
      </c>
    </row>
    <row r="462">
      <c r="A462" s="48" t="n"/>
      <c r="B462" s="44" t="n"/>
      <c r="C462" s="44" t="n"/>
      <c r="D462" s="45" t="n"/>
      <c r="E462" s="44" t="n"/>
      <c r="F462" s="23">
        <f>IF(B462="","",IFERROR(INDEX(Cat_Tipo,MATCH(B462,Lista_Categorias,0)),"Deseo"))</f>
        <v/>
      </c>
      <c r="G462" s="23">
        <f>IF(A462="","",WEEKNUM(A462,2))</f>
        <v/>
      </c>
      <c r="H462" s="49">
        <f>IF(A462="","",DATE(YEAR(A462),MONTH(A462),1))</f>
        <v/>
      </c>
    </row>
    <row r="463">
      <c r="A463" s="48" t="n"/>
      <c r="B463" s="44" t="n"/>
      <c r="C463" s="44" t="n"/>
      <c r="D463" s="45" t="n"/>
      <c r="E463" s="44" t="n"/>
      <c r="F463" s="23">
        <f>IF(B463="","",IFERROR(INDEX(Cat_Tipo,MATCH(B463,Lista_Categorias,0)),"Deseo"))</f>
        <v/>
      </c>
      <c r="G463" s="23">
        <f>IF(A463="","",WEEKNUM(A463,2))</f>
        <v/>
      </c>
      <c r="H463" s="49">
        <f>IF(A463="","",DATE(YEAR(A463),MONTH(A463),1))</f>
        <v/>
      </c>
    </row>
    <row r="464">
      <c r="A464" s="48" t="n"/>
      <c r="B464" s="44" t="n"/>
      <c r="C464" s="44" t="n"/>
      <c r="D464" s="45" t="n"/>
      <c r="E464" s="44" t="n"/>
      <c r="F464" s="23">
        <f>IF(B464="","",IFERROR(INDEX(Cat_Tipo,MATCH(B464,Lista_Categorias,0)),"Deseo"))</f>
        <v/>
      </c>
      <c r="G464" s="23">
        <f>IF(A464="","",WEEKNUM(A464,2))</f>
        <v/>
      </c>
      <c r="H464" s="49">
        <f>IF(A464="","",DATE(YEAR(A464),MONTH(A464),1))</f>
        <v/>
      </c>
    </row>
    <row r="465">
      <c r="A465" s="48" t="n"/>
      <c r="B465" s="44" t="n"/>
      <c r="C465" s="44" t="n"/>
      <c r="D465" s="45" t="n"/>
      <c r="E465" s="44" t="n"/>
      <c r="F465" s="23">
        <f>IF(B465="","",IFERROR(INDEX(Cat_Tipo,MATCH(B465,Lista_Categorias,0)),"Deseo"))</f>
        <v/>
      </c>
      <c r="G465" s="23">
        <f>IF(A465="","",WEEKNUM(A465,2))</f>
        <v/>
      </c>
      <c r="H465" s="49">
        <f>IF(A465="","",DATE(YEAR(A465),MONTH(A465),1))</f>
        <v/>
      </c>
    </row>
    <row r="466">
      <c r="A466" s="48" t="n"/>
      <c r="B466" s="44" t="n"/>
      <c r="C466" s="44" t="n"/>
      <c r="D466" s="45" t="n"/>
      <c r="E466" s="44" t="n"/>
      <c r="F466" s="23">
        <f>IF(B466="","",IFERROR(INDEX(Cat_Tipo,MATCH(B466,Lista_Categorias,0)),"Deseo"))</f>
        <v/>
      </c>
      <c r="G466" s="23">
        <f>IF(A466="","",WEEKNUM(A466,2))</f>
        <v/>
      </c>
      <c r="H466" s="49">
        <f>IF(A466="","",DATE(YEAR(A466),MONTH(A466),1))</f>
        <v/>
      </c>
    </row>
    <row r="467">
      <c r="A467" s="48" t="n"/>
      <c r="B467" s="44" t="n"/>
      <c r="C467" s="44" t="n"/>
      <c r="D467" s="45" t="n"/>
      <c r="E467" s="44" t="n"/>
      <c r="F467" s="23">
        <f>IF(B467="","",IFERROR(INDEX(Cat_Tipo,MATCH(B467,Lista_Categorias,0)),"Deseo"))</f>
        <v/>
      </c>
      <c r="G467" s="23">
        <f>IF(A467="","",WEEKNUM(A467,2))</f>
        <v/>
      </c>
      <c r="H467" s="49">
        <f>IF(A467="","",DATE(YEAR(A467),MONTH(A467),1))</f>
        <v/>
      </c>
    </row>
    <row r="468">
      <c r="A468" s="48" t="n"/>
      <c r="B468" s="44" t="n"/>
      <c r="C468" s="44" t="n"/>
      <c r="D468" s="45" t="n"/>
      <c r="E468" s="44" t="n"/>
      <c r="F468" s="23">
        <f>IF(B468="","",IFERROR(INDEX(Cat_Tipo,MATCH(B468,Lista_Categorias,0)),"Deseo"))</f>
        <v/>
      </c>
      <c r="G468" s="23">
        <f>IF(A468="","",WEEKNUM(A468,2))</f>
        <v/>
      </c>
      <c r="H468" s="49">
        <f>IF(A468="","",DATE(YEAR(A468),MONTH(A468),1))</f>
        <v/>
      </c>
    </row>
    <row r="469">
      <c r="A469" s="48" t="n"/>
      <c r="B469" s="44" t="n"/>
      <c r="C469" s="44" t="n"/>
      <c r="D469" s="45" t="n"/>
      <c r="E469" s="44" t="n"/>
      <c r="F469" s="23">
        <f>IF(B469="","",IFERROR(INDEX(Cat_Tipo,MATCH(B469,Lista_Categorias,0)),"Deseo"))</f>
        <v/>
      </c>
      <c r="G469" s="23">
        <f>IF(A469="","",WEEKNUM(A469,2))</f>
        <v/>
      </c>
      <c r="H469" s="49">
        <f>IF(A469="","",DATE(YEAR(A469),MONTH(A469),1))</f>
        <v/>
      </c>
    </row>
    <row r="470">
      <c r="A470" s="48" t="n"/>
      <c r="B470" s="44" t="n"/>
      <c r="C470" s="44" t="n"/>
      <c r="D470" s="45" t="n"/>
      <c r="E470" s="44" t="n"/>
      <c r="F470" s="23">
        <f>IF(B470="","",IFERROR(INDEX(Cat_Tipo,MATCH(B470,Lista_Categorias,0)),"Deseo"))</f>
        <v/>
      </c>
      <c r="G470" s="23">
        <f>IF(A470="","",WEEKNUM(A470,2))</f>
        <v/>
      </c>
      <c r="H470" s="49">
        <f>IF(A470="","",DATE(YEAR(A470),MONTH(A470),1))</f>
        <v/>
      </c>
    </row>
    <row r="471">
      <c r="A471" s="48" t="n"/>
      <c r="B471" s="44" t="n"/>
      <c r="C471" s="44" t="n"/>
      <c r="D471" s="45" t="n"/>
      <c r="E471" s="44" t="n"/>
      <c r="F471" s="23">
        <f>IF(B471="","",IFERROR(INDEX(Cat_Tipo,MATCH(B471,Lista_Categorias,0)),"Deseo"))</f>
        <v/>
      </c>
      <c r="G471" s="23">
        <f>IF(A471="","",WEEKNUM(A471,2))</f>
        <v/>
      </c>
      <c r="H471" s="49">
        <f>IF(A471="","",DATE(YEAR(A471),MONTH(A471),1))</f>
        <v/>
      </c>
    </row>
    <row r="472">
      <c r="A472" s="48" t="n"/>
      <c r="B472" s="44" t="n"/>
      <c r="C472" s="44" t="n"/>
      <c r="D472" s="45" t="n"/>
      <c r="E472" s="44" t="n"/>
      <c r="F472" s="23">
        <f>IF(B472="","",IFERROR(INDEX(Cat_Tipo,MATCH(B472,Lista_Categorias,0)),"Deseo"))</f>
        <v/>
      </c>
      <c r="G472" s="23">
        <f>IF(A472="","",WEEKNUM(A472,2))</f>
        <v/>
      </c>
      <c r="H472" s="49">
        <f>IF(A472="","",DATE(YEAR(A472),MONTH(A472),1))</f>
        <v/>
      </c>
    </row>
    <row r="473">
      <c r="A473" s="48" t="n"/>
      <c r="B473" s="44" t="n"/>
      <c r="C473" s="44" t="n"/>
      <c r="D473" s="45" t="n"/>
      <c r="E473" s="44" t="n"/>
      <c r="F473" s="23">
        <f>IF(B473="","",IFERROR(INDEX(Cat_Tipo,MATCH(B473,Lista_Categorias,0)),"Deseo"))</f>
        <v/>
      </c>
      <c r="G473" s="23">
        <f>IF(A473="","",WEEKNUM(A473,2))</f>
        <v/>
      </c>
      <c r="H473" s="49">
        <f>IF(A473="","",DATE(YEAR(A473),MONTH(A473),1))</f>
        <v/>
      </c>
    </row>
    <row r="474">
      <c r="A474" s="48" t="n"/>
      <c r="B474" s="44" t="n"/>
      <c r="C474" s="44" t="n"/>
      <c r="D474" s="45" t="n"/>
      <c r="E474" s="44" t="n"/>
      <c r="F474" s="23">
        <f>IF(B474="","",IFERROR(INDEX(Cat_Tipo,MATCH(B474,Lista_Categorias,0)),"Deseo"))</f>
        <v/>
      </c>
      <c r="G474" s="23">
        <f>IF(A474="","",WEEKNUM(A474,2))</f>
        <v/>
      </c>
      <c r="H474" s="49">
        <f>IF(A474="","",DATE(YEAR(A474),MONTH(A474),1))</f>
        <v/>
      </c>
    </row>
    <row r="475">
      <c r="A475" s="48" t="n"/>
      <c r="B475" s="44" t="n"/>
      <c r="C475" s="44" t="n"/>
      <c r="D475" s="45" t="n"/>
      <c r="E475" s="44" t="n"/>
      <c r="F475" s="23">
        <f>IF(B475="","",IFERROR(INDEX(Cat_Tipo,MATCH(B475,Lista_Categorias,0)),"Deseo"))</f>
        <v/>
      </c>
      <c r="G475" s="23">
        <f>IF(A475="","",WEEKNUM(A475,2))</f>
        <v/>
      </c>
      <c r="H475" s="49">
        <f>IF(A475="","",DATE(YEAR(A475),MONTH(A475),1))</f>
        <v/>
      </c>
    </row>
    <row r="476">
      <c r="A476" s="48" t="n"/>
      <c r="B476" s="44" t="n"/>
      <c r="C476" s="44" t="n"/>
      <c r="D476" s="45" t="n"/>
      <c r="E476" s="44" t="n"/>
      <c r="F476" s="23">
        <f>IF(B476="","",IFERROR(INDEX(Cat_Tipo,MATCH(B476,Lista_Categorias,0)),"Deseo"))</f>
        <v/>
      </c>
      <c r="G476" s="23">
        <f>IF(A476="","",WEEKNUM(A476,2))</f>
        <v/>
      </c>
      <c r="H476" s="49">
        <f>IF(A476="","",DATE(YEAR(A476),MONTH(A476),1))</f>
        <v/>
      </c>
    </row>
    <row r="477">
      <c r="A477" s="48" t="n"/>
      <c r="B477" s="44" t="n"/>
      <c r="C477" s="44" t="n"/>
      <c r="D477" s="45" t="n"/>
      <c r="E477" s="44" t="n"/>
      <c r="F477" s="23">
        <f>IF(B477="","",IFERROR(INDEX(Cat_Tipo,MATCH(B477,Lista_Categorias,0)),"Deseo"))</f>
        <v/>
      </c>
      <c r="G477" s="23">
        <f>IF(A477="","",WEEKNUM(A477,2))</f>
        <v/>
      </c>
      <c r="H477" s="49">
        <f>IF(A477="","",DATE(YEAR(A477),MONTH(A477),1))</f>
        <v/>
      </c>
    </row>
    <row r="478">
      <c r="A478" s="48" t="n"/>
      <c r="B478" s="44" t="n"/>
      <c r="C478" s="44" t="n"/>
      <c r="D478" s="45" t="n"/>
      <c r="E478" s="44" t="n"/>
      <c r="F478" s="23">
        <f>IF(B478="","",IFERROR(INDEX(Cat_Tipo,MATCH(B478,Lista_Categorias,0)),"Deseo"))</f>
        <v/>
      </c>
      <c r="G478" s="23">
        <f>IF(A478="","",WEEKNUM(A478,2))</f>
        <v/>
      </c>
      <c r="H478" s="49">
        <f>IF(A478="","",DATE(YEAR(A478),MONTH(A478),1))</f>
        <v/>
      </c>
    </row>
    <row r="479">
      <c r="A479" s="48" t="n"/>
      <c r="B479" s="44" t="n"/>
      <c r="C479" s="44" t="n"/>
      <c r="D479" s="45" t="n"/>
      <c r="E479" s="44" t="n"/>
      <c r="F479" s="23">
        <f>IF(B479="","",IFERROR(INDEX(Cat_Tipo,MATCH(B479,Lista_Categorias,0)),"Deseo"))</f>
        <v/>
      </c>
      <c r="G479" s="23">
        <f>IF(A479="","",WEEKNUM(A479,2))</f>
        <v/>
      </c>
      <c r="H479" s="49">
        <f>IF(A479="","",DATE(YEAR(A479),MONTH(A479),1))</f>
        <v/>
      </c>
    </row>
    <row r="480">
      <c r="A480" s="48" t="n"/>
      <c r="B480" s="44" t="n"/>
      <c r="C480" s="44" t="n"/>
      <c r="D480" s="45" t="n"/>
      <c r="E480" s="44" t="n"/>
      <c r="F480" s="23">
        <f>IF(B480="","",IFERROR(INDEX(Cat_Tipo,MATCH(B480,Lista_Categorias,0)),"Deseo"))</f>
        <v/>
      </c>
      <c r="G480" s="23">
        <f>IF(A480="","",WEEKNUM(A480,2))</f>
        <v/>
      </c>
      <c r="H480" s="49">
        <f>IF(A480="","",DATE(YEAR(A480),MONTH(A480),1))</f>
        <v/>
      </c>
    </row>
    <row r="481">
      <c r="A481" s="48" t="n"/>
      <c r="B481" s="44" t="n"/>
      <c r="C481" s="44" t="n"/>
      <c r="D481" s="45" t="n"/>
      <c r="E481" s="44" t="n"/>
      <c r="F481" s="23">
        <f>IF(B481="","",IFERROR(INDEX(Cat_Tipo,MATCH(B481,Lista_Categorias,0)),"Deseo"))</f>
        <v/>
      </c>
      <c r="G481" s="23">
        <f>IF(A481="","",WEEKNUM(A481,2))</f>
        <v/>
      </c>
      <c r="H481" s="49">
        <f>IF(A481="","",DATE(YEAR(A481),MONTH(A481),1))</f>
        <v/>
      </c>
    </row>
    <row r="482">
      <c r="A482" s="48" t="n"/>
      <c r="B482" s="44" t="n"/>
      <c r="C482" s="44" t="n"/>
      <c r="D482" s="45" t="n"/>
      <c r="E482" s="44" t="n"/>
      <c r="F482" s="23">
        <f>IF(B482="","",IFERROR(INDEX(Cat_Tipo,MATCH(B482,Lista_Categorias,0)),"Deseo"))</f>
        <v/>
      </c>
      <c r="G482" s="23">
        <f>IF(A482="","",WEEKNUM(A482,2))</f>
        <v/>
      </c>
      <c r="H482" s="49">
        <f>IF(A482="","",DATE(YEAR(A482),MONTH(A482),1))</f>
        <v/>
      </c>
    </row>
    <row r="483">
      <c r="A483" s="48" t="n"/>
      <c r="B483" s="44" t="n"/>
      <c r="C483" s="44" t="n"/>
      <c r="D483" s="45" t="n"/>
      <c r="E483" s="44" t="n"/>
      <c r="F483" s="23">
        <f>IF(B483="","",IFERROR(INDEX(Cat_Tipo,MATCH(B483,Lista_Categorias,0)),"Deseo"))</f>
        <v/>
      </c>
      <c r="G483" s="23">
        <f>IF(A483="","",WEEKNUM(A483,2))</f>
        <v/>
      </c>
      <c r="H483" s="49">
        <f>IF(A483="","",DATE(YEAR(A483),MONTH(A483),1))</f>
        <v/>
      </c>
    </row>
    <row r="484">
      <c r="A484" s="48" t="n"/>
      <c r="B484" s="44" t="n"/>
      <c r="C484" s="44" t="n"/>
      <c r="D484" s="45" t="n"/>
      <c r="E484" s="44" t="n"/>
      <c r="F484" s="23">
        <f>IF(B484="","",IFERROR(INDEX(Cat_Tipo,MATCH(B484,Lista_Categorias,0)),"Deseo"))</f>
        <v/>
      </c>
      <c r="G484" s="23">
        <f>IF(A484="","",WEEKNUM(A484,2))</f>
        <v/>
      </c>
      <c r="H484" s="49">
        <f>IF(A484="","",DATE(YEAR(A484),MONTH(A484),1))</f>
        <v/>
      </c>
    </row>
    <row r="485">
      <c r="A485" s="48" t="n"/>
      <c r="B485" s="44" t="n"/>
      <c r="C485" s="44" t="n"/>
      <c r="D485" s="45" t="n"/>
      <c r="E485" s="44" t="n"/>
      <c r="F485" s="23">
        <f>IF(B485="","",IFERROR(INDEX(Cat_Tipo,MATCH(B485,Lista_Categorias,0)),"Deseo"))</f>
        <v/>
      </c>
      <c r="G485" s="23">
        <f>IF(A485="","",WEEKNUM(A485,2))</f>
        <v/>
      </c>
      <c r="H485" s="49">
        <f>IF(A485="","",DATE(YEAR(A485),MONTH(A485),1))</f>
        <v/>
      </c>
    </row>
    <row r="486">
      <c r="A486" s="48" t="n"/>
      <c r="B486" s="44" t="n"/>
      <c r="C486" s="44" t="n"/>
      <c r="D486" s="45" t="n"/>
      <c r="E486" s="44" t="n"/>
      <c r="F486" s="23">
        <f>IF(B486="","",IFERROR(INDEX(Cat_Tipo,MATCH(B486,Lista_Categorias,0)),"Deseo"))</f>
        <v/>
      </c>
      <c r="G486" s="23">
        <f>IF(A486="","",WEEKNUM(A486,2))</f>
        <v/>
      </c>
      <c r="H486" s="49">
        <f>IF(A486="","",DATE(YEAR(A486),MONTH(A486),1))</f>
        <v/>
      </c>
    </row>
    <row r="487">
      <c r="A487" s="48" t="n"/>
      <c r="B487" s="44" t="n"/>
      <c r="C487" s="44" t="n"/>
      <c r="D487" s="45" t="n"/>
      <c r="E487" s="44" t="n"/>
      <c r="F487" s="23">
        <f>IF(B487="","",IFERROR(INDEX(Cat_Tipo,MATCH(B487,Lista_Categorias,0)),"Deseo"))</f>
        <v/>
      </c>
      <c r="G487" s="23">
        <f>IF(A487="","",WEEKNUM(A487,2))</f>
        <v/>
      </c>
      <c r="H487" s="49">
        <f>IF(A487="","",DATE(YEAR(A487),MONTH(A487),1))</f>
        <v/>
      </c>
    </row>
    <row r="488">
      <c r="A488" s="48" t="n"/>
      <c r="B488" s="44" t="n"/>
      <c r="C488" s="44" t="n"/>
      <c r="D488" s="45" t="n"/>
      <c r="E488" s="44" t="n"/>
      <c r="F488" s="23">
        <f>IF(B488="","",IFERROR(INDEX(Cat_Tipo,MATCH(B488,Lista_Categorias,0)),"Deseo"))</f>
        <v/>
      </c>
      <c r="G488" s="23">
        <f>IF(A488="","",WEEKNUM(A488,2))</f>
        <v/>
      </c>
      <c r="H488" s="49">
        <f>IF(A488="","",DATE(YEAR(A488),MONTH(A488),1))</f>
        <v/>
      </c>
    </row>
    <row r="489">
      <c r="A489" s="48" t="n"/>
      <c r="B489" s="44" t="n"/>
      <c r="C489" s="44" t="n"/>
      <c r="D489" s="45" t="n"/>
      <c r="E489" s="44" t="n"/>
      <c r="F489" s="23">
        <f>IF(B489="","",IFERROR(INDEX(Cat_Tipo,MATCH(B489,Lista_Categorias,0)),"Deseo"))</f>
        <v/>
      </c>
      <c r="G489" s="23">
        <f>IF(A489="","",WEEKNUM(A489,2))</f>
        <v/>
      </c>
      <c r="H489" s="49">
        <f>IF(A489="","",DATE(YEAR(A489),MONTH(A489),1))</f>
        <v/>
      </c>
    </row>
    <row r="490">
      <c r="A490" s="48" t="n"/>
      <c r="B490" s="44" t="n"/>
      <c r="C490" s="44" t="n"/>
      <c r="D490" s="45" t="n"/>
      <c r="E490" s="44" t="n"/>
      <c r="F490" s="23">
        <f>IF(B490="","",IFERROR(INDEX(Cat_Tipo,MATCH(B490,Lista_Categorias,0)),"Deseo"))</f>
        <v/>
      </c>
      <c r="G490" s="23">
        <f>IF(A490="","",WEEKNUM(A490,2))</f>
        <v/>
      </c>
      <c r="H490" s="49">
        <f>IF(A490="","",DATE(YEAR(A490),MONTH(A490),1))</f>
        <v/>
      </c>
    </row>
    <row r="491">
      <c r="A491" s="48" t="n"/>
      <c r="B491" s="44" t="n"/>
      <c r="C491" s="44" t="n"/>
      <c r="D491" s="45" t="n"/>
      <c r="E491" s="44" t="n"/>
      <c r="F491" s="23">
        <f>IF(B491="","",IFERROR(INDEX(Cat_Tipo,MATCH(B491,Lista_Categorias,0)),"Deseo"))</f>
        <v/>
      </c>
      <c r="G491" s="23">
        <f>IF(A491="","",WEEKNUM(A491,2))</f>
        <v/>
      </c>
      <c r="H491" s="49">
        <f>IF(A491="","",DATE(YEAR(A491),MONTH(A491),1))</f>
        <v/>
      </c>
    </row>
    <row r="492">
      <c r="A492" s="48" t="n"/>
      <c r="B492" s="44" t="n"/>
      <c r="C492" s="44" t="n"/>
      <c r="D492" s="45" t="n"/>
      <c r="E492" s="44" t="n"/>
      <c r="F492" s="23">
        <f>IF(B492="","",IFERROR(INDEX(Cat_Tipo,MATCH(B492,Lista_Categorias,0)),"Deseo"))</f>
        <v/>
      </c>
      <c r="G492" s="23">
        <f>IF(A492="","",WEEKNUM(A492,2))</f>
        <v/>
      </c>
      <c r="H492" s="49">
        <f>IF(A492="","",DATE(YEAR(A492),MONTH(A492),1))</f>
        <v/>
      </c>
    </row>
    <row r="493">
      <c r="A493" s="48" t="n"/>
      <c r="B493" s="44" t="n"/>
      <c r="C493" s="44" t="n"/>
      <c r="D493" s="45" t="n"/>
      <c r="E493" s="44" t="n"/>
      <c r="F493" s="23">
        <f>IF(B493="","",IFERROR(INDEX(Cat_Tipo,MATCH(B493,Lista_Categorias,0)),"Deseo"))</f>
        <v/>
      </c>
      <c r="G493" s="23">
        <f>IF(A493="","",WEEKNUM(A493,2))</f>
        <v/>
      </c>
      <c r="H493" s="49">
        <f>IF(A493="","",DATE(YEAR(A493),MONTH(A493),1))</f>
        <v/>
      </c>
    </row>
    <row r="494">
      <c r="A494" s="48" t="n"/>
      <c r="B494" s="44" t="n"/>
      <c r="C494" s="44" t="n"/>
      <c r="D494" s="45" t="n"/>
      <c r="E494" s="44" t="n"/>
      <c r="F494" s="23">
        <f>IF(B494="","",IFERROR(INDEX(Cat_Tipo,MATCH(B494,Lista_Categorias,0)),"Deseo"))</f>
        <v/>
      </c>
      <c r="G494" s="23">
        <f>IF(A494="","",WEEKNUM(A494,2))</f>
        <v/>
      </c>
      <c r="H494" s="49">
        <f>IF(A494="","",DATE(YEAR(A494),MONTH(A494),1))</f>
        <v/>
      </c>
    </row>
    <row r="495">
      <c r="A495" s="48" t="n"/>
      <c r="B495" s="44" t="n"/>
      <c r="C495" s="44" t="n"/>
      <c r="D495" s="45" t="n"/>
      <c r="E495" s="44" t="n"/>
      <c r="F495" s="23">
        <f>IF(B495="","",IFERROR(INDEX(Cat_Tipo,MATCH(B495,Lista_Categorias,0)),"Deseo"))</f>
        <v/>
      </c>
      <c r="G495" s="23">
        <f>IF(A495="","",WEEKNUM(A495,2))</f>
        <v/>
      </c>
      <c r="H495" s="49">
        <f>IF(A495="","",DATE(YEAR(A495),MONTH(A495),1))</f>
        <v/>
      </c>
    </row>
    <row r="496">
      <c r="A496" s="48" t="n"/>
      <c r="B496" s="44" t="n"/>
      <c r="C496" s="44" t="n"/>
      <c r="D496" s="45" t="n"/>
      <c r="E496" s="44" t="n"/>
      <c r="F496" s="23">
        <f>IF(B496="","",IFERROR(INDEX(Cat_Tipo,MATCH(B496,Lista_Categorias,0)),"Deseo"))</f>
        <v/>
      </c>
      <c r="G496" s="23">
        <f>IF(A496="","",WEEKNUM(A496,2))</f>
        <v/>
      </c>
      <c r="H496" s="49">
        <f>IF(A496="","",DATE(YEAR(A496),MONTH(A496),1))</f>
        <v/>
      </c>
    </row>
    <row r="497">
      <c r="A497" s="48" t="n"/>
      <c r="B497" s="44" t="n"/>
      <c r="C497" s="44" t="n"/>
      <c r="D497" s="45" t="n"/>
      <c r="E497" s="44" t="n"/>
      <c r="F497" s="23">
        <f>IF(B497="","",IFERROR(INDEX(Cat_Tipo,MATCH(B497,Lista_Categorias,0)),"Deseo"))</f>
        <v/>
      </c>
      <c r="G497" s="23">
        <f>IF(A497="","",WEEKNUM(A497,2))</f>
        <v/>
      </c>
      <c r="H497" s="49">
        <f>IF(A497="","",DATE(YEAR(A497),MONTH(A497),1))</f>
        <v/>
      </c>
    </row>
    <row r="498">
      <c r="A498" s="48" t="n"/>
      <c r="B498" s="44" t="n"/>
      <c r="C498" s="44" t="n"/>
      <c r="D498" s="45" t="n"/>
      <c r="E498" s="44" t="n"/>
      <c r="F498" s="23">
        <f>IF(B498="","",IFERROR(INDEX(Cat_Tipo,MATCH(B498,Lista_Categorias,0)),"Deseo"))</f>
        <v/>
      </c>
      <c r="G498" s="23">
        <f>IF(A498="","",WEEKNUM(A498,2))</f>
        <v/>
      </c>
      <c r="H498" s="49">
        <f>IF(A498="","",DATE(YEAR(A498),MONTH(A498),1))</f>
        <v/>
      </c>
    </row>
    <row r="499">
      <c r="A499" s="48" t="n"/>
      <c r="B499" s="44" t="n"/>
      <c r="C499" s="44" t="n"/>
      <c r="D499" s="45" t="n"/>
      <c r="E499" s="44" t="n"/>
      <c r="F499" s="23">
        <f>IF(B499="","",IFERROR(INDEX(Cat_Tipo,MATCH(B499,Lista_Categorias,0)),"Deseo"))</f>
        <v/>
      </c>
      <c r="G499" s="23">
        <f>IF(A499="","",WEEKNUM(A499,2))</f>
        <v/>
      </c>
      <c r="H499" s="49">
        <f>IF(A499="","",DATE(YEAR(A499),MONTH(A499),1))</f>
        <v/>
      </c>
    </row>
    <row r="500">
      <c r="A500" s="48" t="n"/>
      <c r="B500" s="44" t="n"/>
      <c r="C500" s="44" t="n"/>
      <c r="D500" s="45" t="n"/>
      <c r="E500" s="44" t="n"/>
      <c r="F500" s="23">
        <f>IF(B500="","",IFERROR(INDEX(Cat_Tipo,MATCH(B500,Lista_Categorias,0)),"Deseo"))</f>
        <v/>
      </c>
      <c r="G500" s="23">
        <f>IF(A500="","",WEEKNUM(A500,2))</f>
        <v/>
      </c>
      <c r="H500" s="49">
        <f>IF(A500="","",DATE(YEAR(A500),MONTH(A500),1))</f>
        <v/>
      </c>
    </row>
    <row r="501">
      <c r="A501" s="48" t="n"/>
      <c r="B501" s="44" t="n"/>
      <c r="C501" s="44" t="n"/>
      <c r="D501" s="45" t="n"/>
      <c r="E501" s="44" t="n"/>
      <c r="F501" s="23">
        <f>IF(B501="","",IFERROR(INDEX(Cat_Tipo,MATCH(B501,Lista_Categorias,0)),"Deseo"))</f>
        <v/>
      </c>
      <c r="G501" s="23">
        <f>IF(A501="","",WEEKNUM(A501,2))</f>
        <v/>
      </c>
      <c r="H501" s="49">
        <f>IF(A501="","",DATE(YEAR(A501),MONTH(A501),1))</f>
        <v/>
      </c>
    </row>
    <row r="502">
      <c r="A502" s="48" t="n"/>
      <c r="B502" s="44" t="n"/>
      <c r="C502" s="44" t="n"/>
      <c r="D502" s="45" t="n"/>
      <c r="E502" s="44" t="n"/>
      <c r="F502" s="23">
        <f>IF(B502="","",IFERROR(INDEX(Cat_Tipo,MATCH(B502,Lista_Categorias,0)),"Deseo"))</f>
        <v/>
      </c>
      <c r="G502" s="23">
        <f>IF(A502="","",WEEKNUM(A502,2))</f>
        <v/>
      </c>
      <c r="H502" s="49">
        <f>IF(A502="","",DATE(YEAR(A502),MONTH(A502),1))</f>
        <v/>
      </c>
    </row>
    <row r="503">
      <c r="A503" s="48" t="n"/>
      <c r="B503" s="44" t="n"/>
      <c r="C503" s="44" t="n"/>
      <c r="D503" s="45" t="n"/>
      <c r="E503" s="44" t="n"/>
      <c r="F503" s="23">
        <f>IF(B503="","",IFERROR(INDEX(Cat_Tipo,MATCH(B503,Lista_Categorias,0)),"Deseo"))</f>
        <v/>
      </c>
      <c r="G503" s="23">
        <f>IF(A503="","",WEEKNUM(A503,2))</f>
        <v/>
      </c>
      <c r="H503" s="49">
        <f>IF(A503="","",DATE(YEAR(A503),MONTH(A503),1))</f>
        <v/>
      </c>
    </row>
    <row r="504">
      <c r="A504" s="48" t="n"/>
      <c r="B504" s="44" t="n"/>
      <c r="C504" s="44" t="n"/>
      <c r="D504" s="45" t="n"/>
      <c r="E504" s="44" t="n"/>
      <c r="F504" s="23">
        <f>IF(B504="","",IFERROR(INDEX(Cat_Tipo,MATCH(B504,Lista_Categorias,0)),"Deseo"))</f>
        <v/>
      </c>
      <c r="G504" s="23">
        <f>IF(A504="","",WEEKNUM(A504,2))</f>
        <v/>
      </c>
      <c r="H504" s="49">
        <f>IF(A504="","",DATE(YEAR(A504),MONTH(A504),1))</f>
        <v/>
      </c>
    </row>
    <row r="505">
      <c r="A505" s="48" t="n"/>
      <c r="B505" s="44" t="n"/>
      <c r="C505" s="44" t="n"/>
      <c r="D505" s="45" t="n"/>
      <c r="E505" s="44" t="n"/>
      <c r="F505" s="23">
        <f>IF(B505="","",IFERROR(INDEX(Cat_Tipo,MATCH(B505,Lista_Categorias,0)),"Deseo"))</f>
        <v/>
      </c>
      <c r="G505" s="23">
        <f>IF(A505="","",WEEKNUM(A505,2))</f>
        <v/>
      </c>
      <c r="H505" s="49">
        <f>IF(A505="","",DATE(YEAR(A505),MONTH(A505),1))</f>
        <v/>
      </c>
    </row>
    <row r="506">
      <c r="A506" s="48" t="n"/>
      <c r="B506" s="44" t="n"/>
      <c r="C506" s="44" t="n"/>
      <c r="D506" s="45" t="n"/>
      <c r="E506" s="44" t="n"/>
      <c r="F506" s="23">
        <f>IF(B506="","",IFERROR(INDEX(Cat_Tipo,MATCH(B506,Lista_Categorias,0)),"Deseo"))</f>
        <v/>
      </c>
      <c r="G506" s="23">
        <f>IF(A506="","",WEEKNUM(A506,2))</f>
        <v/>
      </c>
      <c r="H506" s="49">
        <f>IF(A506="","",DATE(YEAR(A506),MONTH(A506),1))</f>
        <v/>
      </c>
    </row>
    <row r="507">
      <c r="A507" s="48" t="n"/>
      <c r="B507" s="44" t="n"/>
      <c r="C507" s="44" t="n"/>
      <c r="D507" s="45" t="n"/>
      <c r="E507" s="44" t="n"/>
      <c r="F507" s="23">
        <f>IF(B507="","",IFERROR(INDEX(Cat_Tipo,MATCH(B507,Lista_Categorias,0)),"Deseo"))</f>
        <v/>
      </c>
      <c r="G507" s="23">
        <f>IF(A507="","",WEEKNUM(A507,2))</f>
        <v/>
      </c>
      <c r="H507" s="49">
        <f>IF(A507="","",DATE(YEAR(A507),MONTH(A507),1))</f>
        <v/>
      </c>
    </row>
    <row r="508">
      <c r="A508" s="48" t="n"/>
      <c r="B508" s="44" t="n"/>
      <c r="C508" s="44" t="n"/>
      <c r="D508" s="45" t="n"/>
      <c r="E508" s="44" t="n"/>
      <c r="F508" s="23">
        <f>IF(B508="","",IFERROR(INDEX(Cat_Tipo,MATCH(B508,Lista_Categorias,0)),"Deseo"))</f>
        <v/>
      </c>
      <c r="G508" s="23">
        <f>IF(A508="","",WEEKNUM(A508,2))</f>
        <v/>
      </c>
      <c r="H508" s="49">
        <f>IF(A508="","",DATE(YEAR(A508),MONTH(A508),1))</f>
        <v/>
      </c>
    </row>
    <row r="509">
      <c r="A509" s="48" t="n"/>
      <c r="B509" s="44" t="n"/>
      <c r="C509" s="44" t="n"/>
      <c r="D509" s="45" t="n"/>
      <c r="E509" s="44" t="n"/>
      <c r="F509" s="23">
        <f>IF(B509="","",IFERROR(INDEX(Cat_Tipo,MATCH(B509,Lista_Categorias,0)),"Deseo"))</f>
        <v/>
      </c>
      <c r="G509" s="23">
        <f>IF(A509="","",WEEKNUM(A509,2))</f>
        <v/>
      </c>
      <c r="H509" s="49">
        <f>IF(A509="","",DATE(YEAR(A509),MONTH(A509),1))</f>
        <v/>
      </c>
    </row>
    <row r="510">
      <c r="A510" s="48" t="n"/>
      <c r="B510" s="44" t="n"/>
      <c r="C510" s="44" t="n"/>
      <c r="D510" s="45" t="n"/>
      <c r="E510" s="44" t="n"/>
      <c r="F510" s="23">
        <f>IF(B510="","",IFERROR(INDEX(Cat_Tipo,MATCH(B510,Lista_Categorias,0)),"Deseo"))</f>
        <v/>
      </c>
      <c r="G510" s="23">
        <f>IF(A510="","",WEEKNUM(A510,2))</f>
        <v/>
      </c>
      <c r="H510" s="49">
        <f>IF(A510="","",DATE(YEAR(A510),MONTH(A510),1))</f>
        <v/>
      </c>
    </row>
    <row r="511">
      <c r="A511" s="48" t="n"/>
      <c r="B511" s="44" t="n"/>
      <c r="C511" s="44" t="n"/>
      <c r="D511" s="45" t="n"/>
      <c r="E511" s="44" t="n"/>
      <c r="F511" s="23">
        <f>IF(B511="","",IFERROR(INDEX(Cat_Tipo,MATCH(B511,Lista_Categorias,0)),"Deseo"))</f>
        <v/>
      </c>
      <c r="G511" s="23">
        <f>IF(A511="","",WEEKNUM(A511,2))</f>
        <v/>
      </c>
      <c r="H511" s="49">
        <f>IF(A511="","",DATE(YEAR(A511),MONTH(A511),1))</f>
        <v/>
      </c>
    </row>
    <row r="512">
      <c r="A512" s="48" t="n"/>
      <c r="B512" s="44" t="n"/>
      <c r="C512" s="44" t="n"/>
      <c r="D512" s="45" t="n"/>
      <c r="E512" s="44" t="n"/>
      <c r="F512" s="23">
        <f>IF(B512="","",IFERROR(INDEX(Cat_Tipo,MATCH(B512,Lista_Categorias,0)),"Deseo"))</f>
        <v/>
      </c>
      <c r="G512" s="23">
        <f>IF(A512="","",WEEKNUM(A512,2))</f>
        <v/>
      </c>
      <c r="H512" s="49">
        <f>IF(A512="","",DATE(YEAR(A512),MONTH(A512),1))</f>
        <v/>
      </c>
    </row>
    <row r="513">
      <c r="A513" s="48" t="n"/>
      <c r="B513" s="44" t="n"/>
      <c r="C513" s="44" t="n"/>
      <c r="D513" s="45" t="n"/>
      <c r="E513" s="44" t="n"/>
      <c r="F513" s="23">
        <f>IF(B513="","",IFERROR(INDEX(Cat_Tipo,MATCH(B513,Lista_Categorias,0)),"Deseo"))</f>
        <v/>
      </c>
      <c r="G513" s="23">
        <f>IF(A513="","",WEEKNUM(A513,2))</f>
        <v/>
      </c>
      <c r="H513" s="49">
        <f>IF(A513="","",DATE(YEAR(A513),MONTH(A513),1))</f>
        <v/>
      </c>
    </row>
    <row r="514">
      <c r="A514" s="48" t="n"/>
      <c r="B514" s="44" t="n"/>
      <c r="C514" s="44" t="n"/>
      <c r="D514" s="45" t="n"/>
      <c r="E514" s="44" t="n"/>
      <c r="F514" s="23">
        <f>IF(B514="","",IFERROR(INDEX(Cat_Tipo,MATCH(B514,Lista_Categorias,0)),"Deseo"))</f>
        <v/>
      </c>
      <c r="G514" s="23">
        <f>IF(A514="","",WEEKNUM(A514,2))</f>
        <v/>
      </c>
      <c r="H514" s="49">
        <f>IF(A514="","",DATE(YEAR(A514),MONTH(A514),1))</f>
        <v/>
      </c>
    </row>
    <row r="515">
      <c r="A515" s="48" t="n"/>
      <c r="B515" s="44" t="n"/>
      <c r="C515" s="44" t="n"/>
      <c r="D515" s="45" t="n"/>
      <c r="E515" s="44" t="n"/>
      <c r="F515" s="23">
        <f>IF(B515="","",IFERROR(INDEX(Cat_Tipo,MATCH(B515,Lista_Categorias,0)),"Deseo"))</f>
        <v/>
      </c>
      <c r="G515" s="23">
        <f>IF(A515="","",WEEKNUM(A515,2))</f>
        <v/>
      </c>
      <c r="H515" s="49">
        <f>IF(A515="","",DATE(YEAR(A515),MONTH(A515),1))</f>
        <v/>
      </c>
    </row>
    <row r="516">
      <c r="A516" s="48" t="n"/>
      <c r="B516" s="44" t="n"/>
      <c r="C516" s="44" t="n"/>
      <c r="D516" s="45" t="n"/>
      <c r="E516" s="44" t="n"/>
      <c r="F516" s="23">
        <f>IF(B516="","",IFERROR(INDEX(Cat_Tipo,MATCH(B516,Lista_Categorias,0)),"Deseo"))</f>
        <v/>
      </c>
      <c r="G516" s="23">
        <f>IF(A516="","",WEEKNUM(A516,2))</f>
        <v/>
      </c>
      <c r="H516" s="49">
        <f>IF(A516="","",DATE(YEAR(A516),MONTH(A516),1))</f>
        <v/>
      </c>
    </row>
    <row r="517">
      <c r="A517" s="48" t="n"/>
      <c r="B517" s="44" t="n"/>
      <c r="C517" s="44" t="n"/>
      <c r="D517" s="45" t="n"/>
      <c r="E517" s="44" t="n"/>
      <c r="F517" s="23">
        <f>IF(B517="","",IFERROR(INDEX(Cat_Tipo,MATCH(B517,Lista_Categorias,0)),"Deseo"))</f>
        <v/>
      </c>
      <c r="G517" s="23">
        <f>IF(A517="","",WEEKNUM(A517,2))</f>
        <v/>
      </c>
      <c r="H517" s="49">
        <f>IF(A517="","",DATE(YEAR(A517),MONTH(A517),1))</f>
        <v/>
      </c>
    </row>
    <row r="518">
      <c r="A518" s="48" t="n"/>
      <c r="B518" s="44" t="n"/>
      <c r="C518" s="44" t="n"/>
      <c r="D518" s="45" t="n"/>
      <c r="E518" s="44" t="n"/>
      <c r="F518" s="23">
        <f>IF(B518="","",IFERROR(INDEX(Cat_Tipo,MATCH(B518,Lista_Categorias,0)),"Deseo"))</f>
        <v/>
      </c>
      <c r="G518" s="23">
        <f>IF(A518="","",WEEKNUM(A518,2))</f>
        <v/>
      </c>
      <c r="H518" s="49">
        <f>IF(A518="","",DATE(YEAR(A518),MONTH(A518),1))</f>
        <v/>
      </c>
    </row>
    <row r="519">
      <c r="A519" s="48" t="n"/>
      <c r="B519" s="44" t="n"/>
      <c r="C519" s="44" t="n"/>
      <c r="D519" s="45" t="n"/>
      <c r="E519" s="44" t="n"/>
      <c r="F519" s="23">
        <f>IF(B519="","",IFERROR(INDEX(Cat_Tipo,MATCH(B519,Lista_Categorias,0)),"Deseo"))</f>
        <v/>
      </c>
      <c r="G519" s="23">
        <f>IF(A519="","",WEEKNUM(A519,2))</f>
        <v/>
      </c>
      <c r="H519" s="49">
        <f>IF(A519="","",DATE(YEAR(A519),MONTH(A519),1))</f>
        <v/>
      </c>
    </row>
    <row r="520">
      <c r="A520" s="48" t="n"/>
      <c r="B520" s="44" t="n"/>
      <c r="C520" s="44" t="n"/>
      <c r="D520" s="45" t="n"/>
      <c r="E520" s="44" t="n"/>
      <c r="F520" s="23">
        <f>IF(B520="","",IFERROR(INDEX(Cat_Tipo,MATCH(B520,Lista_Categorias,0)),"Deseo"))</f>
        <v/>
      </c>
      <c r="G520" s="23">
        <f>IF(A520="","",WEEKNUM(A520,2))</f>
        <v/>
      </c>
      <c r="H520" s="49">
        <f>IF(A520="","",DATE(YEAR(A520),MONTH(A520),1))</f>
        <v/>
      </c>
    </row>
    <row r="521">
      <c r="A521" s="48" t="n"/>
      <c r="B521" s="44" t="n"/>
      <c r="C521" s="44" t="n"/>
      <c r="D521" s="45" t="n"/>
      <c r="E521" s="44" t="n"/>
      <c r="F521" s="23">
        <f>IF(B521="","",IFERROR(INDEX(Cat_Tipo,MATCH(B521,Lista_Categorias,0)),"Deseo"))</f>
        <v/>
      </c>
      <c r="G521" s="23">
        <f>IF(A521="","",WEEKNUM(A521,2))</f>
        <v/>
      </c>
      <c r="H521" s="49">
        <f>IF(A521="","",DATE(YEAR(A521),MONTH(A521),1))</f>
        <v/>
      </c>
    </row>
    <row r="522">
      <c r="A522" s="48" t="n"/>
      <c r="B522" s="44" t="n"/>
      <c r="C522" s="44" t="n"/>
      <c r="D522" s="45" t="n"/>
      <c r="E522" s="44" t="n"/>
      <c r="F522" s="23">
        <f>IF(B522="","",IFERROR(INDEX(Cat_Tipo,MATCH(B522,Lista_Categorias,0)),"Deseo"))</f>
        <v/>
      </c>
      <c r="G522" s="23">
        <f>IF(A522="","",WEEKNUM(A522,2))</f>
        <v/>
      </c>
      <c r="H522" s="49">
        <f>IF(A522="","",DATE(YEAR(A522),MONTH(A522),1))</f>
        <v/>
      </c>
    </row>
    <row r="523">
      <c r="A523" s="48" t="n"/>
      <c r="B523" s="44" t="n"/>
      <c r="C523" s="44" t="n"/>
      <c r="D523" s="45" t="n"/>
      <c r="E523" s="44" t="n"/>
      <c r="F523" s="23">
        <f>IF(B523="","",IFERROR(INDEX(Cat_Tipo,MATCH(B523,Lista_Categorias,0)),"Deseo"))</f>
        <v/>
      </c>
      <c r="G523" s="23">
        <f>IF(A523="","",WEEKNUM(A523,2))</f>
        <v/>
      </c>
      <c r="H523" s="49">
        <f>IF(A523="","",DATE(YEAR(A523),MONTH(A523),1))</f>
        <v/>
      </c>
    </row>
    <row r="524">
      <c r="A524" s="48" t="n"/>
      <c r="B524" s="44" t="n"/>
      <c r="C524" s="44" t="n"/>
      <c r="D524" s="45" t="n"/>
      <c r="E524" s="44" t="n"/>
      <c r="F524" s="23">
        <f>IF(B524="","",IFERROR(INDEX(Cat_Tipo,MATCH(B524,Lista_Categorias,0)),"Deseo"))</f>
        <v/>
      </c>
      <c r="G524" s="23">
        <f>IF(A524="","",WEEKNUM(A524,2))</f>
        <v/>
      </c>
      <c r="H524" s="49">
        <f>IF(A524="","",DATE(YEAR(A524),MONTH(A524),1))</f>
        <v/>
      </c>
    </row>
    <row r="525">
      <c r="A525" s="48" t="n"/>
      <c r="B525" s="44" t="n"/>
      <c r="C525" s="44" t="n"/>
      <c r="D525" s="45" t="n"/>
      <c r="E525" s="44" t="n"/>
      <c r="F525" s="23">
        <f>IF(B525="","",IFERROR(INDEX(Cat_Tipo,MATCH(B525,Lista_Categorias,0)),"Deseo"))</f>
        <v/>
      </c>
      <c r="G525" s="23">
        <f>IF(A525="","",WEEKNUM(A525,2))</f>
        <v/>
      </c>
      <c r="H525" s="49">
        <f>IF(A525="","",DATE(YEAR(A525),MONTH(A525),1))</f>
        <v/>
      </c>
    </row>
    <row r="526">
      <c r="A526" s="48" t="n"/>
      <c r="B526" s="44" t="n"/>
      <c r="C526" s="44" t="n"/>
      <c r="D526" s="45" t="n"/>
      <c r="E526" s="44" t="n"/>
      <c r="F526" s="23">
        <f>IF(B526="","",IFERROR(INDEX(Cat_Tipo,MATCH(B526,Lista_Categorias,0)),"Deseo"))</f>
        <v/>
      </c>
      <c r="G526" s="23">
        <f>IF(A526="","",WEEKNUM(A526,2))</f>
        <v/>
      </c>
      <c r="H526" s="49">
        <f>IF(A526="","",DATE(YEAR(A526),MONTH(A526),1))</f>
        <v/>
      </c>
    </row>
    <row r="527">
      <c r="A527" s="48" t="n"/>
      <c r="B527" s="44" t="n"/>
      <c r="C527" s="44" t="n"/>
      <c r="D527" s="45" t="n"/>
      <c r="E527" s="44" t="n"/>
      <c r="F527" s="23">
        <f>IF(B527="","",IFERROR(INDEX(Cat_Tipo,MATCH(B527,Lista_Categorias,0)),"Deseo"))</f>
        <v/>
      </c>
      <c r="G527" s="23">
        <f>IF(A527="","",WEEKNUM(A527,2))</f>
        <v/>
      </c>
      <c r="H527" s="49">
        <f>IF(A527="","",DATE(YEAR(A527),MONTH(A527),1))</f>
        <v/>
      </c>
    </row>
    <row r="528">
      <c r="A528" s="48" t="n"/>
      <c r="B528" s="44" t="n"/>
      <c r="C528" s="44" t="n"/>
      <c r="D528" s="45" t="n"/>
      <c r="E528" s="44" t="n"/>
      <c r="F528" s="23">
        <f>IF(B528="","",IFERROR(INDEX(Cat_Tipo,MATCH(B528,Lista_Categorias,0)),"Deseo"))</f>
        <v/>
      </c>
      <c r="G528" s="23">
        <f>IF(A528="","",WEEKNUM(A528,2))</f>
        <v/>
      </c>
      <c r="H528" s="49">
        <f>IF(A528="","",DATE(YEAR(A528),MONTH(A528),1))</f>
        <v/>
      </c>
    </row>
    <row r="529">
      <c r="A529" s="48" t="n"/>
      <c r="B529" s="44" t="n"/>
      <c r="C529" s="44" t="n"/>
      <c r="D529" s="45" t="n"/>
      <c r="E529" s="44" t="n"/>
      <c r="F529" s="23">
        <f>IF(B529="","",IFERROR(INDEX(Cat_Tipo,MATCH(B529,Lista_Categorias,0)),"Deseo"))</f>
        <v/>
      </c>
      <c r="G529" s="23">
        <f>IF(A529="","",WEEKNUM(A529,2))</f>
        <v/>
      </c>
      <c r="H529" s="49">
        <f>IF(A529="","",DATE(YEAR(A529),MONTH(A529),1))</f>
        <v/>
      </c>
    </row>
    <row r="530">
      <c r="A530" s="48" t="n"/>
      <c r="B530" s="44" t="n"/>
      <c r="C530" s="44" t="n"/>
      <c r="D530" s="45" t="n"/>
      <c r="E530" s="44" t="n"/>
      <c r="F530" s="23">
        <f>IF(B530="","",IFERROR(INDEX(Cat_Tipo,MATCH(B530,Lista_Categorias,0)),"Deseo"))</f>
        <v/>
      </c>
      <c r="G530" s="23">
        <f>IF(A530="","",WEEKNUM(A530,2))</f>
        <v/>
      </c>
      <c r="H530" s="49">
        <f>IF(A530="","",DATE(YEAR(A530),MONTH(A530),1))</f>
        <v/>
      </c>
    </row>
    <row r="531">
      <c r="A531" s="48" t="n"/>
      <c r="B531" s="44" t="n"/>
      <c r="C531" s="44" t="n"/>
      <c r="D531" s="45" t="n"/>
      <c r="E531" s="44" t="n"/>
      <c r="F531" s="23">
        <f>IF(B531="","",IFERROR(INDEX(Cat_Tipo,MATCH(B531,Lista_Categorias,0)),"Deseo"))</f>
        <v/>
      </c>
      <c r="G531" s="23">
        <f>IF(A531="","",WEEKNUM(A531,2))</f>
        <v/>
      </c>
      <c r="H531" s="49">
        <f>IF(A531="","",DATE(YEAR(A531),MONTH(A531),1))</f>
        <v/>
      </c>
    </row>
    <row r="532">
      <c r="A532" s="48" t="n"/>
      <c r="B532" s="44" t="n"/>
      <c r="C532" s="44" t="n"/>
      <c r="D532" s="45" t="n"/>
      <c r="E532" s="44" t="n"/>
      <c r="F532" s="23">
        <f>IF(B532="","",IFERROR(INDEX(Cat_Tipo,MATCH(B532,Lista_Categorias,0)),"Deseo"))</f>
        <v/>
      </c>
      <c r="G532" s="23">
        <f>IF(A532="","",WEEKNUM(A532,2))</f>
        <v/>
      </c>
      <c r="H532" s="49">
        <f>IF(A532="","",DATE(YEAR(A532),MONTH(A532),1))</f>
        <v/>
      </c>
    </row>
    <row r="533">
      <c r="A533" s="48" t="n"/>
      <c r="B533" s="44" t="n"/>
      <c r="C533" s="44" t="n"/>
      <c r="D533" s="45" t="n"/>
      <c r="E533" s="44" t="n"/>
      <c r="F533" s="23">
        <f>IF(B533="","",IFERROR(INDEX(Cat_Tipo,MATCH(B533,Lista_Categorias,0)),"Deseo"))</f>
        <v/>
      </c>
      <c r="G533" s="23">
        <f>IF(A533="","",WEEKNUM(A533,2))</f>
        <v/>
      </c>
      <c r="H533" s="49">
        <f>IF(A533="","",DATE(YEAR(A533),MONTH(A533),1))</f>
        <v/>
      </c>
    </row>
    <row r="534">
      <c r="A534" s="48" t="n"/>
      <c r="B534" s="44" t="n"/>
      <c r="C534" s="44" t="n"/>
      <c r="D534" s="45" t="n"/>
      <c r="E534" s="44" t="n"/>
      <c r="F534" s="23">
        <f>IF(B534="","",IFERROR(INDEX(Cat_Tipo,MATCH(B534,Lista_Categorias,0)),"Deseo"))</f>
        <v/>
      </c>
      <c r="G534" s="23">
        <f>IF(A534="","",WEEKNUM(A534,2))</f>
        <v/>
      </c>
      <c r="H534" s="49">
        <f>IF(A534="","",DATE(YEAR(A534),MONTH(A534),1))</f>
        <v/>
      </c>
    </row>
    <row r="535">
      <c r="A535" s="48" t="n"/>
      <c r="B535" s="44" t="n"/>
      <c r="C535" s="44" t="n"/>
      <c r="D535" s="45" t="n"/>
      <c r="E535" s="44" t="n"/>
      <c r="F535" s="23">
        <f>IF(B535="","",IFERROR(INDEX(Cat_Tipo,MATCH(B535,Lista_Categorias,0)),"Deseo"))</f>
        <v/>
      </c>
      <c r="G535" s="23">
        <f>IF(A535="","",WEEKNUM(A535,2))</f>
        <v/>
      </c>
      <c r="H535" s="49">
        <f>IF(A535="","",DATE(YEAR(A535),MONTH(A535),1))</f>
        <v/>
      </c>
    </row>
    <row r="536">
      <c r="A536" s="48" t="n"/>
      <c r="B536" s="44" t="n"/>
      <c r="C536" s="44" t="n"/>
      <c r="D536" s="45" t="n"/>
      <c r="E536" s="44" t="n"/>
      <c r="F536" s="23">
        <f>IF(B536="","",IFERROR(INDEX(Cat_Tipo,MATCH(B536,Lista_Categorias,0)),"Deseo"))</f>
        <v/>
      </c>
      <c r="G536" s="23">
        <f>IF(A536="","",WEEKNUM(A536,2))</f>
        <v/>
      </c>
      <c r="H536" s="49">
        <f>IF(A536="","",DATE(YEAR(A536),MONTH(A536),1))</f>
        <v/>
      </c>
    </row>
    <row r="537">
      <c r="A537" s="48" t="n"/>
      <c r="B537" s="44" t="n"/>
      <c r="C537" s="44" t="n"/>
      <c r="D537" s="45" t="n"/>
      <c r="E537" s="44" t="n"/>
      <c r="F537" s="23">
        <f>IF(B537="","",IFERROR(INDEX(Cat_Tipo,MATCH(B537,Lista_Categorias,0)),"Deseo"))</f>
        <v/>
      </c>
      <c r="G537" s="23">
        <f>IF(A537="","",WEEKNUM(A537,2))</f>
        <v/>
      </c>
      <c r="H537" s="49">
        <f>IF(A537="","",DATE(YEAR(A537),MONTH(A537),1))</f>
        <v/>
      </c>
    </row>
    <row r="538">
      <c r="A538" s="48" t="n"/>
      <c r="B538" s="44" t="n"/>
      <c r="C538" s="44" t="n"/>
      <c r="D538" s="45" t="n"/>
      <c r="E538" s="44" t="n"/>
      <c r="F538" s="23">
        <f>IF(B538="","",IFERROR(INDEX(Cat_Tipo,MATCH(B538,Lista_Categorias,0)),"Deseo"))</f>
        <v/>
      </c>
      <c r="G538" s="23">
        <f>IF(A538="","",WEEKNUM(A538,2))</f>
        <v/>
      </c>
      <c r="H538" s="49">
        <f>IF(A538="","",DATE(YEAR(A538),MONTH(A538),1))</f>
        <v/>
      </c>
    </row>
    <row r="539">
      <c r="A539" s="48" t="n"/>
      <c r="B539" s="44" t="n"/>
      <c r="C539" s="44" t="n"/>
      <c r="D539" s="45" t="n"/>
      <c r="E539" s="44" t="n"/>
      <c r="F539" s="23">
        <f>IF(B539="","",IFERROR(INDEX(Cat_Tipo,MATCH(B539,Lista_Categorias,0)),"Deseo"))</f>
        <v/>
      </c>
      <c r="G539" s="23">
        <f>IF(A539="","",WEEKNUM(A539,2))</f>
        <v/>
      </c>
      <c r="H539" s="49">
        <f>IF(A539="","",DATE(YEAR(A539),MONTH(A539),1))</f>
        <v/>
      </c>
    </row>
    <row r="540">
      <c r="A540" s="48" t="n"/>
      <c r="B540" s="44" t="n"/>
      <c r="C540" s="44" t="n"/>
      <c r="D540" s="45" t="n"/>
      <c r="E540" s="44" t="n"/>
      <c r="F540" s="23">
        <f>IF(B540="","",IFERROR(INDEX(Cat_Tipo,MATCH(B540,Lista_Categorias,0)),"Deseo"))</f>
        <v/>
      </c>
      <c r="G540" s="23">
        <f>IF(A540="","",WEEKNUM(A540,2))</f>
        <v/>
      </c>
      <c r="H540" s="49">
        <f>IF(A540="","",DATE(YEAR(A540),MONTH(A540),1))</f>
        <v/>
      </c>
    </row>
    <row r="541">
      <c r="A541" s="48" t="n"/>
      <c r="B541" s="44" t="n"/>
      <c r="C541" s="44" t="n"/>
      <c r="D541" s="45" t="n"/>
      <c r="E541" s="44" t="n"/>
      <c r="F541" s="23">
        <f>IF(B541="","",IFERROR(INDEX(Cat_Tipo,MATCH(B541,Lista_Categorias,0)),"Deseo"))</f>
        <v/>
      </c>
      <c r="G541" s="23">
        <f>IF(A541="","",WEEKNUM(A541,2))</f>
        <v/>
      </c>
      <c r="H541" s="49">
        <f>IF(A541="","",DATE(YEAR(A541),MONTH(A541),1))</f>
        <v/>
      </c>
    </row>
    <row r="542">
      <c r="A542" s="48" t="n"/>
      <c r="B542" s="44" t="n"/>
      <c r="C542" s="44" t="n"/>
      <c r="D542" s="45" t="n"/>
      <c r="E542" s="44" t="n"/>
      <c r="F542" s="23">
        <f>IF(B542="","",IFERROR(INDEX(Cat_Tipo,MATCH(B542,Lista_Categorias,0)),"Deseo"))</f>
        <v/>
      </c>
      <c r="G542" s="23">
        <f>IF(A542="","",WEEKNUM(A542,2))</f>
        <v/>
      </c>
      <c r="H542" s="49">
        <f>IF(A542="","",DATE(YEAR(A542),MONTH(A542),1))</f>
        <v/>
      </c>
    </row>
    <row r="543">
      <c r="A543" s="48" t="n"/>
      <c r="B543" s="44" t="n"/>
      <c r="C543" s="44" t="n"/>
      <c r="D543" s="45" t="n"/>
      <c r="E543" s="44" t="n"/>
      <c r="F543" s="23">
        <f>IF(B543="","",IFERROR(INDEX(Cat_Tipo,MATCH(B543,Lista_Categorias,0)),"Deseo"))</f>
        <v/>
      </c>
      <c r="G543" s="23">
        <f>IF(A543="","",WEEKNUM(A543,2))</f>
        <v/>
      </c>
      <c r="H543" s="49">
        <f>IF(A543="","",DATE(YEAR(A543),MONTH(A543),1))</f>
        <v/>
      </c>
    </row>
    <row r="544">
      <c r="A544" s="48" t="n"/>
      <c r="B544" s="44" t="n"/>
      <c r="C544" s="44" t="n"/>
      <c r="D544" s="45" t="n"/>
      <c r="E544" s="44" t="n"/>
      <c r="F544" s="23">
        <f>IF(B544="","",IFERROR(INDEX(Cat_Tipo,MATCH(B544,Lista_Categorias,0)),"Deseo"))</f>
        <v/>
      </c>
      <c r="G544" s="23">
        <f>IF(A544="","",WEEKNUM(A544,2))</f>
        <v/>
      </c>
      <c r="H544" s="49">
        <f>IF(A544="","",DATE(YEAR(A544),MONTH(A544),1))</f>
        <v/>
      </c>
    </row>
    <row r="545">
      <c r="A545" s="48" t="n"/>
      <c r="B545" s="44" t="n"/>
      <c r="C545" s="44" t="n"/>
      <c r="D545" s="45" t="n"/>
      <c r="E545" s="44" t="n"/>
      <c r="F545" s="23">
        <f>IF(B545="","",IFERROR(INDEX(Cat_Tipo,MATCH(B545,Lista_Categorias,0)),"Deseo"))</f>
        <v/>
      </c>
      <c r="G545" s="23">
        <f>IF(A545="","",WEEKNUM(A545,2))</f>
        <v/>
      </c>
      <c r="H545" s="49">
        <f>IF(A545="","",DATE(YEAR(A545),MONTH(A545),1))</f>
        <v/>
      </c>
    </row>
    <row r="546">
      <c r="A546" s="48" t="n"/>
      <c r="B546" s="44" t="n"/>
      <c r="C546" s="44" t="n"/>
      <c r="D546" s="45" t="n"/>
      <c r="E546" s="44" t="n"/>
      <c r="F546" s="23">
        <f>IF(B546="","",IFERROR(INDEX(Cat_Tipo,MATCH(B546,Lista_Categorias,0)),"Deseo"))</f>
        <v/>
      </c>
      <c r="G546" s="23">
        <f>IF(A546="","",WEEKNUM(A546,2))</f>
        <v/>
      </c>
      <c r="H546" s="49">
        <f>IF(A546="","",DATE(YEAR(A546),MONTH(A546),1))</f>
        <v/>
      </c>
    </row>
    <row r="547">
      <c r="A547" s="48" t="n"/>
      <c r="B547" s="44" t="n"/>
      <c r="C547" s="44" t="n"/>
      <c r="D547" s="45" t="n"/>
      <c r="E547" s="44" t="n"/>
      <c r="F547" s="23">
        <f>IF(B547="","",IFERROR(INDEX(Cat_Tipo,MATCH(B547,Lista_Categorias,0)),"Deseo"))</f>
        <v/>
      </c>
      <c r="G547" s="23">
        <f>IF(A547="","",WEEKNUM(A547,2))</f>
        <v/>
      </c>
      <c r="H547" s="49">
        <f>IF(A547="","",DATE(YEAR(A547),MONTH(A547),1))</f>
        <v/>
      </c>
    </row>
    <row r="548">
      <c r="A548" s="48" t="n"/>
      <c r="B548" s="44" t="n"/>
      <c r="C548" s="44" t="n"/>
      <c r="D548" s="45" t="n"/>
      <c r="E548" s="44" t="n"/>
      <c r="F548" s="23">
        <f>IF(B548="","",IFERROR(INDEX(Cat_Tipo,MATCH(B548,Lista_Categorias,0)),"Deseo"))</f>
        <v/>
      </c>
      <c r="G548" s="23">
        <f>IF(A548="","",WEEKNUM(A548,2))</f>
        <v/>
      </c>
      <c r="H548" s="49">
        <f>IF(A548="","",DATE(YEAR(A548),MONTH(A548),1))</f>
        <v/>
      </c>
    </row>
    <row r="549">
      <c r="A549" s="48" t="n"/>
      <c r="B549" s="44" t="n"/>
      <c r="C549" s="44" t="n"/>
      <c r="D549" s="45" t="n"/>
      <c r="E549" s="44" t="n"/>
      <c r="F549" s="23">
        <f>IF(B549="","",IFERROR(INDEX(Cat_Tipo,MATCH(B549,Lista_Categorias,0)),"Deseo"))</f>
        <v/>
      </c>
      <c r="G549" s="23">
        <f>IF(A549="","",WEEKNUM(A549,2))</f>
        <v/>
      </c>
      <c r="H549" s="49">
        <f>IF(A549="","",DATE(YEAR(A549),MONTH(A549),1))</f>
        <v/>
      </c>
    </row>
    <row r="550">
      <c r="A550" s="48" t="n"/>
      <c r="B550" s="44" t="n"/>
      <c r="C550" s="44" t="n"/>
      <c r="D550" s="45" t="n"/>
      <c r="E550" s="44" t="n"/>
      <c r="F550" s="23">
        <f>IF(B550="","",IFERROR(INDEX(Cat_Tipo,MATCH(B550,Lista_Categorias,0)),"Deseo"))</f>
        <v/>
      </c>
      <c r="G550" s="23">
        <f>IF(A550="","",WEEKNUM(A550,2))</f>
        <v/>
      </c>
      <c r="H550" s="49">
        <f>IF(A550="","",DATE(YEAR(A550),MONTH(A550),1))</f>
        <v/>
      </c>
    </row>
    <row r="551">
      <c r="A551" s="48" t="n"/>
      <c r="B551" s="44" t="n"/>
      <c r="C551" s="44" t="n"/>
      <c r="D551" s="45" t="n"/>
      <c r="E551" s="44" t="n"/>
      <c r="F551" s="23">
        <f>IF(B551="","",IFERROR(INDEX(Cat_Tipo,MATCH(B551,Lista_Categorias,0)),"Deseo"))</f>
        <v/>
      </c>
      <c r="G551" s="23">
        <f>IF(A551="","",WEEKNUM(A551,2))</f>
        <v/>
      </c>
      <c r="H551" s="49">
        <f>IF(A551="","",DATE(YEAR(A551),MONTH(A551),1))</f>
        <v/>
      </c>
    </row>
    <row r="552">
      <c r="A552" s="48" t="n"/>
      <c r="B552" s="44" t="n"/>
      <c r="C552" s="44" t="n"/>
      <c r="D552" s="45" t="n"/>
      <c r="E552" s="44" t="n"/>
      <c r="F552" s="23">
        <f>IF(B552="","",IFERROR(INDEX(Cat_Tipo,MATCH(B552,Lista_Categorias,0)),"Deseo"))</f>
        <v/>
      </c>
      <c r="G552" s="23">
        <f>IF(A552="","",WEEKNUM(A552,2))</f>
        <v/>
      </c>
      <c r="H552" s="49">
        <f>IF(A552="","",DATE(YEAR(A552),MONTH(A552),1))</f>
        <v/>
      </c>
    </row>
    <row r="553">
      <c r="A553" s="48" t="n"/>
      <c r="B553" s="44" t="n"/>
      <c r="C553" s="44" t="n"/>
      <c r="D553" s="45" t="n"/>
      <c r="E553" s="44" t="n"/>
      <c r="F553" s="23">
        <f>IF(B553="","",IFERROR(INDEX(Cat_Tipo,MATCH(B553,Lista_Categorias,0)),"Deseo"))</f>
        <v/>
      </c>
      <c r="G553" s="23">
        <f>IF(A553="","",WEEKNUM(A553,2))</f>
        <v/>
      </c>
      <c r="H553" s="49">
        <f>IF(A553="","",DATE(YEAR(A553),MONTH(A553),1))</f>
        <v/>
      </c>
    </row>
    <row r="554">
      <c r="A554" s="48" t="n"/>
      <c r="B554" s="44" t="n"/>
      <c r="C554" s="44" t="n"/>
      <c r="D554" s="45" t="n"/>
      <c r="E554" s="44" t="n"/>
      <c r="F554" s="23">
        <f>IF(B554="","",IFERROR(INDEX(Cat_Tipo,MATCH(B554,Lista_Categorias,0)),"Deseo"))</f>
        <v/>
      </c>
      <c r="G554" s="23">
        <f>IF(A554="","",WEEKNUM(A554,2))</f>
        <v/>
      </c>
      <c r="H554" s="49">
        <f>IF(A554="","",DATE(YEAR(A554),MONTH(A554),1))</f>
        <v/>
      </c>
    </row>
    <row r="555">
      <c r="A555" s="48" t="n"/>
      <c r="B555" s="44" t="n"/>
      <c r="C555" s="44" t="n"/>
      <c r="D555" s="45" t="n"/>
      <c r="E555" s="44" t="n"/>
      <c r="F555" s="23">
        <f>IF(B555="","",IFERROR(INDEX(Cat_Tipo,MATCH(B555,Lista_Categorias,0)),"Deseo"))</f>
        <v/>
      </c>
      <c r="G555" s="23">
        <f>IF(A555="","",WEEKNUM(A555,2))</f>
        <v/>
      </c>
      <c r="H555" s="49">
        <f>IF(A555="","",DATE(YEAR(A555),MONTH(A555),1))</f>
        <v/>
      </c>
    </row>
    <row r="556">
      <c r="A556" s="48" t="n"/>
      <c r="B556" s="44" t="n"/>
      <c r="C556" s="44" t="n"/>
      <c r="D556" s="45" t="n"/>
      <c r="E556" s="44" t="n"/>
      <c r="F556" s="23">
        <f>IF(B556="","",IFERROR(INDEX(Cat_Tipo,MATCH(B556,Lista_Categorias,0)),"Deseo"))</f>
        <v/>
      </c>
      <c r="G556" s="23">
        <f>IF(A556="","",WEEKNUM(A556,2))</f>
        <v/>
      </c>
      <c r="H556" s="49">
        <f>IF(A556="","",DATE(YEAR(A556),MONTH(A556),1))</f>
        <v/>
      </c>
    </row>
    <row r="557">
      <c r="A557" s="48" t="n"/>
      <c r="B557" s="44" t="n"/>
      <c r="C557" s="44" t="n"/>
      <c r="D557" s="45" t="n"/>
      <c r="E557" s="44" t="n"/>
      <c r="F557" s="23">
        <f>IF(B557="","",IFERROR(INDEX(Cat_Tipo,MATCH(B557,Lista_Categorias,0)),"Deseo"))</f>
        <v/>
      </c>
      <c r="G557" s="23">
        <f>IF(A557="","",WEEKNUM(A557,2))</f>
        <v/>
      </c>
      <c r="H557" s="49">
        <f>IF(A557="","",DATE(YEAR(A557),MONTH(A557),1))</f>
        <v/>
      </c>
    </row>
    <row r="558">
      <c r="A558" s="48" t="n"/>
      <c r="B558" s="44" t="n"/>
      <c r="C558" s="44" t="n"/>
      <c r="D558" s="45" t="n"/>
      <c r="E558" s="44" t="n"/>
      <c r="F558" s="23">
        <f>IF(B558="","",IFERROR(INDEX(Cat_Tipo,MATCH(B558,Lista_Categorias,0)),"Deseo"))</f>
        <v/>
      </c>
      <c r="G558" s="23">
        <f>IF(A558="","",WEEKNUM(A558,2))</f>
        <v/>
      </c>
      <c r="H558" s="49">
        <f>IF(A558="","",DATE(YEAR(A558),MONTH(A558),1))</f>
        <v/>
      </c>
    </row>
    <row r="559">
      <c r="A559" s="48" t="n"/>
      <c r="B559" s="44" t="n"/>
      <c r="C559" s="44" t="n"/>
      <c r="D559" s="45" t="n"/>
      <c r="E559" s="44" t="n"/>
      <c r="F559" s="23">
        <f>IF(B559="","",IFERROR(INDEX(Cat_Tipo,MATCH(B559,Lista_Categorias,0)),"Deseo"))</f>
        <v/>
      </c>
      <c r="G559" s="23">
        <f>IF(A559="","",WEEKNUM(A559,2))</f>
        <v/>
      </c>
      <c r="H559" s="49">
        <f>IF(A559="","",DATE(YEAR(A559),MONTH(A559),1))</f>
        <v/>
      </c>
    </row>
    <row r="560">
      <c r="A560" s="48" t="n"/>
      <c r="B560" s="44" t="n"/>
      <c r="C560" s="44" t="n"/>
      <c r="D560" s="45" t="n"/>
      <c r="E560" s="44" t="n"/>
      <c r="F560" s="23">
        <f>IF(B560="","",IFERROR(INDEX(Cat_Tipo,MATCH(B560,Lista_Categorias,0)),"Deseo"))</f>
        <v/>
      </c>
      <c r="G560" s="23">
        <f>IF(A560="","",WEEKNUM(A560,2))</f>
        <v/>
      </c>
      <c r="H560" s="49">
        <f>IF(A560="","",DATE(YEAR(A560),MONTH(A560),1))</f>
        <v/>
      </c>
    </row>
    <row r="561">
      <c r="A561" s="48" t="n"/>
      <c r="B561" s="44" t="n"/>
      <c r="C561" s="44" t="n"/>
      <c r="D561" s="45" t="n"/>
      <c r="E561" s="44" t="n"/>
      <c r="F561" s="23">
        <f>IF(B561="","",IFERROR(INDEX(Cat_Tipo,MATCH(B561,Lista_Categorias,0)),"Deseo"))</f>
        <v/>
      </c>
      <c r="G561" s="23">
        <f>IF(A561="","",WEEKNUM(A561,2))</f>
        <v/>
      </c>
      <c r="H561" s="49">
        <f>IF(A561="","",DATE(YEAR(A561),MONTH(A561),1))</f>
        <v/>
      </c>
    </row>
    <row r="562">
      <c r="A562" s="48" t="n"/>
      <c r="B562" s="44" t="n"/>
      <c r="C562" s="44" t="n"/>
      <c r="D562" s="45" t="n"/>
      <c r="E562" s="44" t="n"/>
      <c r="F562" s="23">
        <f>IF(B562="","",IFERROR(INDEX(Cat_Tipo,MATCH(B562,Lista_Categorias,0)),"Deseo"))</f>
        <v/>
      </c>
      <c r="G562" s="23">
        <f>IF(A562="","",WEEKNUM(A562,2))</f>
        <v/>
      </c>
      <c r="H562" s="49">
        <f>IF(A562="","",DATE(YEAR(A562),MONTH(A562),1))</f>
        <v/>
      </c>
    </row>
    <row r="563">
      <c r="A563" s="48" t="n"/>
      <c r="B563" s="44" t="n"/>
      <c r="C563" s="44" t="n"/>
      <c r="D563" s="45" t="n"/>
      <c r="E563" s="44" t="n"/>
      <c r="F563" s="23">
        <f>IF(B563="","",IFERROR(INDEX(Cat_Tipo,MATCH(B563,Lista_Categorias,0)),"Deseo"))</f>
        <v/>
      </c>
      <c r="G563" s="23">
        <f>IF(A563="","",WEEKNUM(A563,2))</f>
        <v/>
      </c>
      <c r="H563" s="49">
        <f>IF(A563="","",DATE(YEAR(A563),MONTH(A563),1))</f>
        <v/>
      </c>
    </row>
    <row r="564">
      <c r="A564" s="48" t="n"/>
      <c r="B564" s="44" t="n"/>
      <c r="C564" s="44" t="n"/>
      <c r="D564" s="45" t="n"/>
      <c r="E564" s="44" t="n"/>
      <c r="F564" s="23">
        <f>IF(B564="","",IFERROR(INDEX(Cat_Tipo,MATCH(B564,Lista_Categorias,0)),"Deseo"))</f>
        <v/>
      </c>
      <c r="G564" s="23">
        <f>IF(A564="","",WEEKNUM(A564,2))</f>
        <v/>
      </c>
      <c r="H564" s="49">
        <f>IF(A564="","",DATE(YEAR(A564),MONTH(A564),1))</f>
        <v/>
      </c>
    </row>
    <row r="565">
      <c r="A565" s="48" t="n"/>
      <c r="B565" s="44" t="n"/>
      <c r="C565" s="44" t="n"/>
      <c r="D565" s="45" t="n"/>
      <c r="E565" s="44" t="n"/>
      <c r="F565" s="23">
        <f>IF(B565="","",IFERROR(INDEX(Cat_Tipo,MATCH(B565,Lista_Categorias,0)),"Deseo"))</f>
        <v/>
      </c>
      <c r="G565" s="23">
        <f>IF(A565="","",WEEKNUM(A565,2))</f>
        <v/>
      </c>
      <c r="H565" s="49">
        <f>IF(A565="","",DATE(YEAR(A565),MONTH(A565),1))</f>
        <v/>
      </c>
    </row>
    <row r="566">
      <c r="A566" s="48" t="n"/>
      <c r="B566" s="44" t="n"/>
      <c r="C566" s="44" t="n"/>
      <c r="D566" s="45" t="n"/>
      <c r="E566" s="44" t="n"/>
      <c r="F566" s="23">
        <f>IF(B566="","",IFERROR(INDEX(Cat_Tipo,MATCH(B566,Lista_Categorias,0)),"Deseo"))</f>
        <v/>
      </c>
      <c r="G566" s="23">
        <f>IF(A566="","",WEEKNUM(A566,2))</f>
        <v/>
      </c>
      <c r="H566" s="49">
        <f>IF(A566="","",DATE(YEAR(A566),MONTH(A566),1))</f>
        <v/>
      </c>
    </row>
    <row r="567">
      <c r="A567" s="48" t="n"/>
      <c r="B567" s="44" t="n"/>
      <c r="C567" s="44" t="n"/>
      <c r="D567" s="45" t="n"/>
      <c r="E567" s="44" t="n"/>
      <c r="F567" s="23">
        <f>IF(B567="","",IFERROR(INDEX(Cat_Tipo,MATCH(B567,Lista_Categorias,0)),"Deseo"))</f>
        <v/>
      </c>
      <c r="G567" s="23">
        <f>IF(A567="","",WEEKNUM(A567,2))</f>
        <v/>
      </c>
      <c r="H567" s="49">
        <f>IF(A567="","",DATE(YEAR(A567),MONTH(A567),1))</f>
        <v/>
      </c>
    </row>
    <row r="568">
      <c r="A568" s="48" t="n"/>
      <c r="B568" s="44" t="n"/>
      <c r="C568" s="44" t="n"/>
      <c r="D568" s="45" t="n"/>
      <c r="E568" s="44" t="n"/>
      <c r="F568" s="23">
        <f>IF(B568="","",IFERROR(INDEX(Cat_Tipo,MATCH(B568,Lista_Categorias,0)),"Deseo"))</f>
        <v/>
      </c>
      <c r="G568" s="23">
        <f>IF(A568="","",WEEKNUM(A568,2))</f>
        <v/>
      </c>
      <c r="H568" s="49">
        <f>IF(A568="","",DATE(YEAR(A568),MONTH(A568),1))</f>
        <v/>
      </c>
    </row>
    <row r="569">
      <c r="A569" s="48" t="n"/>
      <c r="B569" s="44" t="n"/>
      <c r="C569" s="44" t="n"/>
      <c r="D569" s="45" t="n"/>
      <c r="E569" s="44" t="n"/>
      <c r="F569" s="23">
        <f>IF(B569="","",IFERROR(INDEX(Cat_Tipo,MATCH(B569,Lista_Categorias,0)),"Deseo"))</f>
        <v/>
      </c>
      <c r="G569" s="23">
        <f>IF(A569="","",WEEKNUM(A569,2))</f>
        <v/>
      </c>
      <c r="H569" s="49">
        <f>IF(A569="","",DATE(YEAR(A569),MONTH(A569),1))</f>
        <v/>
      </c>
    </row>
    <row r="570">
      <c r="A570" s="48" t="n"/>
      <c r="B570" s="44" t="n"/>
      <c r="C570" s="44" t="n"/>
      <c r="D570" s="45" t="n"/>
      <c r="E570" s="44" t="n"/>
      <c r="F570" s="23">
        <f>IF(B570="","",IFERROR(INDEX(Cat_Tipo,MATCH(B570,Lista_Categorias,0)),"Deseo"))</f>
        <v/>
      </c>
      <c r="G570" s="23">
        <f>IF(A570="","",WEEKNUM(A570,2))</f>
        <v/>
      </c>
      <c r="H570" s="49">
        <f>IF(A570="","",DATE(YEAR(A570),MONTH(A570),1))</f>
        <v/>
      </c>
    </row>
    <row r="571">
      <c r="A571" s="48" t="n"/>
      <c r="B571" s="44" t="n"/>
      <c r="C571" s="44" t="n"/>
      <c r="D571" s="45" t="n"/>
      <c r="E571" s="44" t="n"/>
      <c r="F571" s="23">
        <f>IF(B571="","",IFERROR(INDEX(Cat_Tipo,MATCH(B571,Lista_Categorias,0)),"Deseo"))</f>
        <v/>
      </c>
      <c r="G571" s="23">
        <f>IF(A571="","",WEEKNUM(A571,2))</f>
        <v/>
      </c>
      <c r="H571" s="49">
        <f>IF(A571="","",DATE(YEAR(A571),MONTH(A571),1))</f>
        <v/>
      </c>
    </row>
    <row r="572">
      <c r="A572" s="48" t="n"/>
      <c r="B572" s="44" t="n"/>
      <c r="C572" s="44" t="n"/>
      <c r="D572" s="45" t="n"/>
      <c r="E572" s="44" t="n"/>
      <c r="F572" s="23">
        <f>IF(B572="","",IFERROR(INDEX(Cat_Tipo,MATCH(B572,Lista_Categorias,0)),"Deseo"))</f>
        <v/>
      </c>
      <c r="G572" s="23">
        <f>IF(A572="","",WEEKNUM(A572,2))</f>
        <v/>
      </c>
      <c r="H572" s="49">
        <f>IF(A572="","",DATE(YEAR(A572),MONTH(A572),1))</f>
        <v/>
      </c>
    </row>
    <row r="573">
      <c r="A573" s="48" t="n"/>
      <c r="B573" s="44" t="n"/>
      <c r="C573" s="44" t="n"/>
      <c r="D573" s="45" t="n"/>
      <c r="E573" s="44" t="n"/>
      <c r="F573" s="23">
        <f>IF(B573="","",IFERROR(INDEX(Cat_Tipo,MATCH(B573,Lista_Categorias,0)),"Deseo"))</f>
        <v/>
      </c>
      <c r="G573" s="23">
        <f>IF(A573="","",WEEKNUM(A573,2))</f>
        <v/>
      </c>
      <c r="H573" s="49">
        <f>IF(A573="","",DATE(YEAR(A573),MONTH(A573),1))</f>
        <v/>
      </c>
    </row>
    <row r="574">
      <c r="A574" s="48" t="n"/>
      <c r="B574" s="44" t="n"/>
      <c r="C574" s="44" t="n"/>
      <c r="D574" s="45" t="n"/>
      <c r="E574" s="44" t="n"/>
      <c r="F574" s="23">
        <f>IF(B574="","",IFERROR(INDEX(Cat_Tipo,MATCH(B574,Lista_Categorias,0)),"Deseo"))</f>
        <v/>
      </c>
      <c r="G574" s="23">
        <f>IF(A574="","",WEEKNUM(A574,2))</f>
        <v/>
      </c>
      <c r="H574" s="49">
        <f>IF(A574="","",DATE(YEAR(A574),MONTH(A574),1))</f>
        <v/>
      </c>
    </row>
    <row r="575">
      <c r="A575" s="48" t="n"/>
      <c r="B575" s="44" t="n"/>
      <c r="C575" s="44" t="n"/>
      <c r="D575" s="45" t="n"/>
      <c r="E575" s="44" t="n"/>
      <c r="F575" s="23">
        <f>IF(B575="","",IFERROR(INDEX(Cat_Tipo,MATCH(B575,Lista_Categorias,0)),"Deseo"))</f>
        <v/>
      </c>
      <c r="G575" s="23">
        <f>IF(A575="","",WEEKNUM(A575,2))</f>
        <v/>
      </c>
      <c r="H575" s="49">
        <f>IF(A575="","",DATE(YEAR(A575),MONTH(A575),1))</f>
        <v/>
      </c>
    </row>
    <row r="576">
      <c r="A576" s="48" t="n"/>
      <c r="B576" s="44" t="n"/>
      <c r="C576" s="44" t="n"/>
      <c r="D576" s="45" t="n"/>
      <c r="E576" s="44" t="n"/>
      <c r="F576" s="23">
        <f>IF(B576="","",IFERROR(INDEX(Cat_Tipo,MATCH(B576,Lista_Categorias,0)),"Deseo"))</f>
        <v/>
      </c>
      <c r="G576" s="23">
        <f>IF(A576="","",WEEKNUM(A576,2))</f>
        <v/>
      </c>
      <c r="H576" s="49">
        <f>IF(A576="","",DATE(YEAR(A576),MONTH(A576),1))</f>
        <v/>
      </c>
    </row>
    <row r="577">
      <c r="A577" s="48" t="n"/>
      <c r="B577" s="44" t="n"/>
      <c r="C577" s="44" t="n"/>
      <c r="D577" s="45" t="n"/>
      <c r="E577" s="44" t="n"/>
      <c r="F577" s="23">
        <f>IF(B577="","",IFERROR(INDEX(Cat_Tipo,MATCH(B577,Lista_Categorias,0)),"Deseo"))</f>
        <v/>
      </c>
      <c r="G577" s="23">
        <f>IF(A577="","",WEEKNUM(A577,2))</f>
        <v/>
      </c>
      <c r="H577" s="49">
        <f>IF(A577="","",DATE(YEAR(A577),MONTH(A577),1))</f>
        <v/>
      </c>
    </row>
    <row r="578">
      <c r="A578" s="48" t="n"/>
      <c r="B578" s="44" t="n"/>
      <c r="C578" s="44" t="n"/>
      <c r="D578" s="45" t="n"/>
      <c r="E578" s="44" t="n"/>
      <c r="F578" s="23">
        <f>IF(B578="","",IFERROR(INDEX(Cat_Tipo,MATCH(B578,Lista_Categorias,0)),"Deseo"))</f>
        <v/>
      </c>
      <c r="G578" s="23">
        <f>IF(A578="","",WEEKNUM(A578,2))</f>
        <v/>
      </c>
      <c r="H578" s="49">
        <f>IF(A578="","",DATE(YEAR(A578),MONTH(A578),1))</f>
        <v/>
      </c>
    </row>
    <row r="579">
      <c r="A579" s="48" t="n"/>
      <c r="B579" s="44" t="n"/>
      <c r="C579" s="44" t="n"/>
      <c r="D579" s="45" t="n"/>
      <c r="E579" s="44" t="n"/>
      <c r="F579" s="23">
        <f>IF(B579="","",IFERROR(INDEX(Cat_Tipo,MATCH(B579,Lista_Categorias,0)),"Deseo"))</f>
        <v/>
      </c>
      <c r="G579" s="23">
        <f>IF(A579="","",WEEKNUM(A579,2))</f>
        <v/>
      </c>
      <c r="H579" s="49">
        <f>IF(A579="","",DATE(YEAR(A579),MONTH(A579),1))</f>
        <v/>
      </c>
    </row>
    <row r="580">
      <c r="A580" s="48" t="n"/>
      <c r="B580" s="44" t="n"/>
      <c r="C580" s="44" t="n"/>
      <c r="D580" s="45" t="n"/>
      <c r="E580" s="44" t="n"/>
      <c r="F580" s="23">
        <f>IF(B580="","",IFERROR(INDEX(Cat_Tipo,MATCH(B580,Lista_Categorias,0)),"Deseo"))</f>
        <v/>
      </c>
      <c r="G580" s="23">
        <f>IF(A580="","",WEEKNUM(A580,2))</f>
        <v/>
      </c>
      <c r="H580" s="49">
        <f>IF(A580="","",DATE(YEAR(A580),MONTH(A580),1))</f>
        <v/>
      </c>
    </row>
    <row r="581">
      <c r="A581" s="48" t="n"/>
      <c r="B581" s="44" t="n"/>
      <c r="C581" s="44" t="n"/>
      <c r="D581" s="45" t="n"/>
      <c r="E581" s="44" t="n"/>
      <c r="F581" s="23">
        <f>IF(B581="","",IFERROR(INDEX(Cat_Tipo,MATCH(B581,Lista_Categorias,0)),"Deseo"))</f>
        <v/>
      </c>
      <c r="G581" s="23">
        <f>IF(A581="","",WEEKNUM(A581,2))</f>
        <v/>
      </c>
      <c r="H581" s="49">
        <f>IF(A581="","",DATE(YEAR(A581),MONTH(A581),1))</f>
        <v/>
      </c>
    </row>
    <row r="582">
      <c r="A582" s="48" t="n"/>
      <c r="B582" s="44" t="n"/>
      <c r="C582" s="44" t="n"/>
      <c r="D582" s="45" t="n"/>
      <c r="E582" s="44" t="n"/>
      <c r="F582" s="23">
        <f>IF(B582="","",IFERROR(INDEX(Cat_Tipo,MATCH(B582,Lista_Categorias,0)),"Deseo"))</f>
        <v/>
      </c>
      <c r="G582" s="23">
        <f>IF(A582="","",WEEKNUM(A582,2))</f>
        <v/>
      </c>
      <c r="H582" s="49">
        <f>IF(A582="","",DATE(YEAR(A582),MONTH(A582),1))</f>
        <v/>
      </c>
    </row>
    <row r="583">
      <c r="A583" s="48" t="n"/>
      <c r="B583" s="44" t="n"/>
      <c r="C583" s="44" t="n"/>
      <c r="D583" s="45" t="n"/>
      <c r="E583" s="44" t="n"/>
      <c r="F583" s="23">
        <f>IF(B583="","",IFERROR(INDEX(Cat_Tipo,MATCH(B583,Lista_Categorias,0)),"Deseo"))</f>
        <v/>
      </c>
      <c r="G583" s="23">
        <f>IF(A583="","",WEEKNUM(A583,2))</f>
        <v/>
      </c>
      <c r="H583" s="49">
        <f>IF(A583="","",DATE(YEAR(A583),MONTH(A583),1))</f>
        <v/>
      </c>
    </row>
    <row r="584">
      <c r="A584" s="48" t="n"/>
      <c r="B584" s="44" t="n"/>
      <c r="C584" s="44" t="n"/>
      <c r="D584" s="45" t="n"/>
      <c r="E584" s="44" t="n"/>
      <c r="F584" s="23">
        <f>IF(B584="","",IFERROR(INDEX(Cat_Tipo,MATCH(B584,Lista_Categorias,0)),"Deseo"))</f>
        <v/>
      </c>
      <c r="G584" s="23">
        <f>IF(A584="","",WEEKNUM(A584,2))</f>
        <v/>
      </c>
      <c r="H584" s="49">
        <f>IF(A584="","",DATE(YEAR(A584),MONTH(A584),1))</f>
        <v/>
      </c>
    </row>
    <row r="585">
      <c r="A585" s="48" t="n"/>
      <c r="B585" s="44" t="n"/>
      <c r="C585" s="44" t="n"/>
      <c r="D585" s="45" t="n"/>
      <c r="E585" s="44" t="n"/>
      <c r="F585" s="23">
        <f>IF(B585="","",IFERROR(INDEX(Cat_Tipo,MATCH(B585,Lista_Categorias,0)),"Deseo"))</f>
        <v/>
      </c>
      <c r="G585" s="23">
        <f>IF(A585="","",WEEKNUM(A585,2))</f>
        <v/>
      </c>
      <c r="H585" s="49">
        <f>IF(A585="","",DATE(YEAR(A585),MONTH(A585),1))</f>
        <v/>
      </c>
    </row>
    <row r="586">
      <c r="A586" s="48" t="n"/>
      <c r="B586" s="44" t="n"/>
      <c r="C586" s="44" t="n"/>
      <c r="D586" s="45" t="n"/>
      <c r="E586" s="44" t="n"/>
      <c r="F586" s="23">
        <f>IF(B586="","",IFERROR(INDEX(Cat_Tipo,MATCH(B586,Lista_Categorias,0)),"Deseo"))</f>
        <v/>
      </c>
      <c r="G586" s="23">
        <f>IF(A586="","",WEEKNUM(A586,2))</f>
        <v/>
      </c>
      <c r="H586" s="49">
        <f>IF(A586="","",DATE(YEAR(A586),MONTH(A586),1))</f>
        <v/>
      </c>
    </row>
    <row r="587">
      <c r="A587" s="48" t="n"/>
      <c r="B587" s="44" t="n"/>
      <c r="C587" s="44" t="n"/>
      <c r="D587" s="45" t="n"/>
      <c r="E587" s="44" t="n"/>
      <c r="F587" s="23">
        <f>IF(B587="","",IFERROR(INDEX(Cat_Tipo,MATCH(B587,Lista_Categorias,0)),"Deseo"))</f>
        <v/>
      </c>
      <c r="G587" s="23">
        <f>IF(A587="","",WEEKNUM(A587,2))</f>
        <v/>
      </c>
      <c r="H587" s="49">
        <f>IF(A587="","",DATE(YEAR(A587),MONTH(A587),1))</f>
        <v/>
      </c>
    </row>
    <row r="588">
      <c r="A588" s="48" t="n"/>
      <c r="B588" s="44" t="n"/>
      <c r="C588" s="44" t="n"/>
      <c r="D588" s="45" t="n"/>
      <c r="E588" s="44" t="n"/>
      <c r="F588" s="23">
        <f>IF(B588="","",IFERROR(INDEX(Cat_Tipo,MATCH(B588,Lista_Categorias,0)),"Deseo"))</f>
        <v/>
      </c>
      <c r="G588" s="23">
        <f>IF(A588="","",WEEKNUM(A588,2))</f>
        <v/>
      </c>
      <c r="H588" s="49">
        <f>IF(A588="","",DATE(YEAR(A588),MONTH(A588),1))</f>
        <v/>
      </c>
    </row>
    <row r="589">
      <c r="A589" s="48" t="n"/>
      <c r="B589" s="44" t="n"/>
      <c r="C589" s="44" t="n"/>
      <c r="D589" s="45" t="n"/>
      <c r="E589" s="44" t="n"/>
      <c r="F589" s="23">
        <f>IF(B589="","",IFERROR(INDEX(Cat_Tipo,MATCH(B589,Lista_Categorias,0)),"Deseo"))</f>
        <v/>
      </c>
      <c r="G589" s="23">
        <f>IF(A589="","",WEEKNUM(A589,2))</f>
        <v/>
      </c>
      <c r="H589" s="49">
        <f>IF(A589="","",DATE(YEAR(A589),MONTH(A589),1))</f>
        <v/>
      </c>
    </row>
    <row r="590">
      <c r="A590" s="48" t="n"/>
      <c r="B590" s="44" t="n"/>
      <c r="C590" s="44" t="n"/>
      <c r="D590" s="45" t="n"/>
      <c r="E590" s="44" t="n"/>
      <c r="F590" s="23">
        <f>IF(B590="","",IFERROR(INDEX(Cat_Tipo,MATCH(B590,Lista_Categorias,0)),"Deseo"))</f>
        <v/>
      </c>
      <c r="G590" s="23">
        <f>IF(A590="","",WEEKNUM(A590,2))</f>
        <v/>
      </c>
      <c r="H590" s="49">
        <f>IF(A590="","",DATE(YEAR(A590),MONTH(A590),1))</f>
        <v/>
      </c>
    </row>
    <row r="591">
      <c r="A591" s="48" t="n"/>
      <c r="B591" s="44" t="n"/>
      <c r="C591" s="44" t="n"/>
      <c r="D591" s="45" t="n"/>
      <c r="E591" s="44" t="n"/>
      <c r="F591" s="23">
        <f>IF(B591="","",IFERROR(INDEX(Cat_Tipo,MATCH(B591,Lista_Categorias,0)),"Deseo"))</f>
        <v/>
      </c>
      <c r="G591" s="23">
        <f>IF(A591="","",WEEKNUM(A591,2))</f>
        <v/>
      </c>
      <c r="H591" s="49">
        <f>IF(A591="","",DATE(YEAR(A591),MONTH(A591),1))</f>
        <v/>
      </c>
    </row>
    <row r="592">
      <c r="A592" s="48" t="n"/>
      <c r="B592" s="44" t="n"/>
      <c r="C592" s="44" t="n"/>
      <c r="D592" s="45" t="n"/>
      <c r="E592" s="44" t="n"/>
      <c r="F592" s="23">
        <f>IF(B592="","",IFERROR(INDEX(Cat_Tipo,MATCH(B592,Lista_Categorias,0)),"Deseo"))</f>
        <v/>
      </c>
      <c r="G592" s="23">
        <f>IF(A592="","",WEEKNUM(A592,2))</f>
        <v/>
      </c>
      <c r="H592" s="49">
        <f>IF(A592="","",DATE(YEAR(A592),MONTH(A592),1))</f>
        <v/>
      </c>
    </row>
    <row r="593">
      <c r="A593" s="48" t="n"/>
      <c r="B593" s="44" t="n"/>
      <c r="C593" s="44" t="n"/>
      <c r="D593" s="45" t="n"/>
      <c r="E593" s="44" t="n"/>
      <c r="F593" s="23">
        <f>IF(B593="","",IFERROR(INDEX(Cat_Tipo,MATCH(B593,Lista_Categorias,0)),"Deseo"))</f>
        <v/>
      </c>
      <c r="G593" s="23">
        <f>IF(A593="","",WEEKNUM(A593,2))</f>
        <v/>
      </c>
      <c r="H593" s="49">
        <f>IF(A593="","",DATE(YEAR(A593),MONTH(A593),1))</f>
        <v/>
      </c>
    </row>
    <row r="594">
      <c r="A594" s="48" t="n"/>
      <c r="B594" s="44" t="n"/>
      <c r="C594" s="44" t="n"/>
      <c r="D594" s="45" t="n"/>
      <c r="E594" s="44" t="n"/>
      <c r="F594" s="23">
        <f>IF(B594="","",IFERROR(INDEX(Cat_Tipo,MATCH(B594,Lista_Categorias,0)),"Deseo"))</f>
        <v/>
      </c>
      <c r="G594" s="23">
        <f>IF(A594="","",WEEKNUM(A594,2))</f>
        <v/>
      </c>
      <c r="H594" s="49">
        <f>IF(A594="","",DATE(YEAR(A594),MONTH(A594),1))</f>
        <v/>
      </c>
    </row>
    <row r="595">
      <c r="A595" s="48" t="n"/>
      <c r="B595" s="44" t="n"/>
      <c r="C595" s="44" t="n"/>
      <c r="D595" s="45" t="n"/>
      <c r="E595" s="44" t="n"/>
      <c r="F595" s="23">
        <f>IF(B595="","",IFERROR(INDEX(Cat_Tipo,MATCH(B595,Lista_Categorias,0)),"Deseo"))</f>
        <v/>
      </c>
      <c r="G595" s="23">
        <f>IF(A595="","",WEEKNUM(A595,2))</f>
        <v/>
      </c>
      <c r="H595" s="49">
        <f>IF(A595="","",DATE(YEAR(A595),MONTH(A595),1))</f>
        <v/>
      </c>
    </row>
    <row r="596">
      <c r="A596" s="48" t="n"/>
      <c r="B596" s="44" t="n"/>
      <c r="C596" s="44" t="n"/>
      <c r="D596" s="45" t="n"/>
      <c r="E596" s="44" t="n"/>
      <c r="F596" s="23">
        <f>IF(B596="","",IFERROR(INDEX(Cat_Tipo,MATCH(B596,Lista_Categorias,0)),"Deseo"))</f>
        <v/>
      </c>
      <c r="G596" s="23">
        <f>IF(A596="","",WEEKNUM(A596,2))</f>
        <v/>
      </c>
      <c r="H596" s="49">
        <f>IF(A596="","",DATE(YEAR(A596),MONTH(A596),1))</f>
        <v/>
      </c>
    </row>
    <row r="597">
      <c r="A597" s="48" t="n"/>
      <c r="B597" s="44" t="n"/>
      <c r="C597" s="44" t="n"/>
      <c r="D597" s="45" t="n"/>
      <c r="E597" s="44" t="n"/>
      <c r="F597" s="23">
        <f>IF(B597="","",IFERROR(INDEX(Cat_Tipo,MATCH(B597,Lista_Categorias,0)),"Deseo"))</f>
        <v/>
      </c>
      <c r="G597" s="23">
        <f>IF(A597="","",WEEKNUM(A597,2))</f>
        <v/>
      </c>
      <c r="H597" s="49">
        <f>IF(A597="","",DATE(YEAR(A597),MONTH(A597),1))</f>
        <v/>
      </c>
    </row>
    <row r="598">
      <c r="A598" s="48" t="n"/>
      <c r="B598" s="44" t="n"/>
      <c r="C598" s="44" t="n"/>
      <c r="D598" s="45" t="n"/>
      <c r="E598" s="44" t="n"/>
      <c r="F598" s="23">
        <f>IF(B598="","",IFERROR(INDEX(Cat_Tipo,MATCH(B598,Lista_Categorias,0)),"Deseo"))</f>
        <v/>
      </c>
      <c r="G598" s="23">
        <f>IF(A598="","",WEEKNUM(A598,2))</f>
        <v/>
      </c>
      <c r="H598" s="49">
        <f>IF(A598="","",DATE(YEAR(A598),MONTH(A598),1))</f>
        <v/>
      </c>
    </row>
    <row r="599">
      <c r="A599" s="48" t="n"/>
      <c r="B599" s="44" t="n"/>
      <c r="C599" s="44" t="n"/>
      <c r="D599" s="45" t="n"/>
      <c r="E599" s="44" t="n"/>
      <c r="F599" s="23">
        <f>IF(B599="","",IFERROR(INDEX(Cat_Tipo,MATCH(B599,Lista_Categorias,0)),"Deseo"))</f>
        <v/>
      </c>
      <c r="G599" s="23">
        <f>IF(A599="","",WEEKNUM(A599,2))</f>
        <v/>
      </c>
      <c r="H599" s="49">
        <f>IF(A599="","",DATE(YEAR(A599),MONTH(A599),1))</f>
        <v/>
      </c>
    </row>
    <row r="600">
      <c r="A600" s="48" t="n"/>
      <c r="B600" s="44" t="n"/>
      <c r="C600" s="44" t="n"/>
      <c r="D600" s="45" t="n"/>
      <c r="E600" s="44" t="n"/>
      <c r="F600" s="23">
        <f>IF(B600="","",IFERROR(INDEX(Cat_Tipo,MATCH(B600,Lista_Categorias,0)),"Deseo"))</f>
        <v/>
      </c>
      <c r="G600" s="23">
        <f>IF(A600="","",WEEKNUM(A600,2))</f>
        <v/>
      </c>
      <c r="H600" s="49">
        <f>IF(A600="","",DATE(YEAR(A600),MONTH(A600),1))</f>
        <v/>
      </c>
    </row>
    <row r="601">
      <c r="A601" s="48" t="n"/>
      <c r="B601" s="44" t="n"/>
      <c r="C601" s="44" t="n"/>
      <c r="D601" s="45" t="n"/>
      <c r="E601" s="44" t="n"/>
      <c r="F601" s="23">
        <f>IF(B601="","",IFERROR(INDEX(Cat_Tipo,MATCH(B601,Lista_Categorias,0)),"Deseo"))</f>
        <v/>
      </c>
      <c r="G601" s="23">
        <f>IF(A601="","",WEEKNUM(A601,2))</f>
        <v/>
      </c>
      <c r="H601" s="49">
        <f>IF(A601="","",DATE(YEAR(A601),MONTH(A601),1))</f>
        <v/>
      </c>
    </row>
    <row r="602">
      <c r="A602" s="48" t="n"/>
      <c r="B602" s="44" t="n"/>
      <c r="C602" s="44" t="n"/>
      <c r="D602" s="45" t="n"/>
      <c r="E602" s="44" t="n"/>
      <c r="F602" s="23">
        <f>IF(B602="","",IFERROR(INDEX(Cat_Tipo,MATCH(B602,Lista_Categorias,0)),"Deseo"))</f>
        <v/>
      </c>
      <c r="G602" s="23">
        <f>IF(A602="","",WEEKNUM(A602,2))</f>
        <v/>
      </c>
      <c r="H602" s="49">
        <f>IF(A602="","",DATE(YEAR(A602),MONTH(A602),1))</f>
        <v/>
      </c>
    </row>
    <row r="603">
      <c r="A603" s="48" t="n"/>
      <c r="B603" s="44" t="n"/>
      <c r="C603" s="44" t="n"/>
      <c r="D603" s="45" t="n"/>
      <c r="E603" s="44" t="n"/>
      <c r="F603" s="23">
        <f>IF(B603="","",IFERROR(INDEX(Cat_Tipo,MATCH(B603,Lista_Categorias,0)),"Deseo"))</f>
        <v/>
      </c>
      <c r="G603" s="23">
        <f>IF(A603="","",WEEKNUM(A603,2))</f>
        <v/>
      </c>
      <c r="H603" s="49">
        <f>IF(A603="","",DATE(YEAR(A603),MONTH(A603),1))</f>
        <v/>
      </c>
    </row>
    <row r="604">
      <c r="A604" s="48" t="n"/>
      <c r="B604" s="44" t="n"/>
      <c r="C604" s="44" t="n"/>
      <c r="D604" s="45" t="n"/>
      <c r="E604" s="44" t="n"/>
      <c r="F604" s="23">
        <f>IF(B604="","",IFERROR(INDEX(Cat_Tipo,MATCH(B604,Lista_Categorias,0)),"Deseo"))</f>
        <v/>
      </c>
      <c r="G604" s="23">
        <f>IF(A604="","",WEEKNUM(A604,2))</f>
        <v/>
      </c>
      <c r="H604" s="49">
        <f>IF(A604="","",DATE(YEAR(A604),MONTH(A604),1))</f>
        <v/>
      </c>
    </row>
    <row r="605">
      <c r="A605" s="48" t="n"/>
      <c r="B605" s="44" t="n"/>
      <c r="C605" s="44" t="n"/>
      <c r="D605" s="45" t="n"/>
      <c r="E605" s="44" t="n"/>
      <c r="F605" s="23">
        <f>IF(B605="","",IFERROR(INDEX(Cat_Tipo,MATCH(B605,Lista_Categorias,0)),"Deseo"))</f>
        <v/>
      </c>
      <c r="G605" s="23">
        <f>IF(A605="","",WEEKNUM(A605,2))</f>
        <v/>
      </c>
      <c r="H605" s="49">
        <f>IF(A605="","",DATE(YEAR(A605),MONTH(A605),1))</f>
        <v/>
      </c>
    </row>
    <row r="606">
      <c r="A606" s="48" t="n"/>
      <c r="B606" s="44" t="n"/>
      <c r="C606" s="44" t="n"/>
      <c r="D606" s="45" t="n"/>
      <c r="E606" s="44" t="n"/>
      <c r="F606" s="23">
        <f>IF(B606="","",IFERROR(INDEX(Cat_Tipo,MATCH(B606,Lista_Categorias,0)),"Deseo"))</f>
        <v/>
      </c>
      <c r="G606" s="23">
        <f>IF(A606="","",WEEKNUM(A606,2))</f>
        <v/>
      </c>
      <c r="H606" s="49">
        <f>IF(A606="","",DATE(YEAR(A606),MONTH(A606),1))</f>
        <v/>
      </c>
    </row>
    <row r="607">
      <c r="A607" s="48" t="n"/>
      <c r="B607" s="44" t="n"/>
      <c r="C607" s="44" t="n"/>
      <c r="D607" s="45" t="n"/>
      <c r="E607" s="44" t="n"/>
      <c r="F607" s="23">
        <f>IF(B607="","",IFERROR(INDEX(Cat_Tipo,MATCH(B607,Lista_Categorias,0)),"Deseo"))</f>
        <v/>
      </c>
      <c r="G607" s="23">
        <f>IF(A607="","",WEEKNUM(A607,2))</f>
        <v/>
      </c>
      <c r="H607" s="49">
        <f>IF(A607="","",DATE(YEAR(A607),MONTH(A607),1))</f>
        <v/>
      </c>
    </row>
    <row r="608">
      <c r="A608" s="48" t="n"/>
      <c r="B608" s="44" t="n"/>
      <c r="C608" s="44" t="n"/>
      <c r="D608" s="45" t="n"/>
      <c r="E608" s="44" t="n"/>
      <c r="F608" s="23">
        <f>IF(B608="","",IFERROR(INDEX(Cat_Tipo,MATCH(B608,Lista_Categorias,0)),"Deseo"))</f>
        <v/>
      </c>
      <c r="G608" s="23">
        <f>IF(A608="","",WEEKNUM(A608,2))</f>
        <v/>
      </c>
      <c r="H608" s="49">
        <f>IF(A608="","",DATE(YEAR(A608),MONTH(A608),1))</f>
        <v/>
      </c>
    </row>
    <row r="609">
      <c r="A609" s="48" t="n"/>
      <c r="B609" s="44" t="n"/>
      <c r="C609" s="44" t="n"/>
      <c r="D609" s="45" t="n"/>
      <c r="E609" s="44" t="n"/>
      <c r="F609" s="23">
        <f>IF(B609="","",IFERROR(INDEX(Cat_Tipo,MATCH(B609,Lista_Categorias,0)),"Deseo"))</f>
        <v/>
      </c>
      <c r="G609" s="23">
        <f>IF(A609="","",WEEKNUM(A609,2))</f>
        <v/>
      </c>
      <c r="H609" s="49">
        <f>IF(A609="","",DATE(YEAR(A609),MONTH(A609),1))</f>
        <v/>
      </c>
    </row>
    <row r="610">
      <c r="A610" s="48" t="n"/>
      <c r="B610" s="44" t="n"/>
      <c r="C610" s="44" t="n"/>
      <c r="D610" s="45" t="n"/>
      <c r="E610" s="44" t="n"/>
      <c r="F610" s="23">
        <f>IF(B610="","",IFERROR(INDEX(Cat_Tipo,MATCH(B610,Lista_Categorias,0)),"Deseo"))</f>
        <v/>
      </c>
      <c r="G610" s="23">
        <f>IF(A610="","",WEEKNUM(A610,2))</f>
        <v/>
      </c>
      <c r="H610" s="49">
        <f>IF(A610="","",DATE(YEAR(A610),MONTH(A610),1))</f>
        <v/>
      </c>
    </row>
    <row r="611">
      <c r="A611" s="48" t="n"/>
      <c r="B611" s="44" t="n"/>
      <c r="C611" s="44" t="n"/>
      <c r="D611" s="45" t="n"/>
      <c r="E611" s="44" t="n"/>
      <c r="F611" s="23">
        <f>IF(B611="","",IFERROR(INDEX(Cat_Tipo,MATCH(B611,Lista_Categorias,0)),"Deseo"))</f>
        <v/>
      </c>
      <c r="G611" s="23">
        <f>IF(A611="","",WEEKNUM(A611,2))</f>
        <v/>
      </c>
      <c r="H611" s="49">
        <f>IF(A611="","",DATE(YEAR(A611),MONTH(A611),1))</f>
        <v/>
      </c>
    </row>
    <row r="612">
      <c r="A612" s="48" t="n"/>
      <c r="B612" s="44" t="n"/>
      <c r="C612" s="44" t="n"/>
      <c r="D612" s="45" t="n"/>
      <c r="E612" s="44" t="n"/>
      <c r="F612" s="23">
        <f>IF(B612="","",IFERROR(INDEX(Cat_Tipo,MATCH(B612,Lista_Categorias,0)),"Deseo"))</f>
        <v/>
      </c>
      <c r="G612" s="23">
        <f>IF(A612="","",WEEKNUM(A612,2))</f>
        <v/>
      </c>
      <c r="H612" s="49">
        <f>IF(A612="","",DATE(YEAR(A612),MONTH(A612),1))</f>
        <v/>
      </c>
    </row>
    <row r="613">
      <c r="A613" s="48" t="n"/>
      <c r="B613" s="44" t="n"/>
      <c r="C613" s="44" t="n"/>
      <c r="D613" s="45" t="n"/>
      <c r="E613" s="44" t="n"/>
      <c r="F613" s="23">
        <f>IF(B613="","",IFERROR(INDEX(Cat_Tipo,MATCH(B613,Lista_Categorias,0)),"Deseo"))</f>
        <v/>
      </c>
      <c r="G613" s="23">
        <f>IF(A613="","",WEEKNUM(A613,2))</f>
        <v/>
      </c>
      <c r="H613" s="49">
        <f>IF(A613="","",DATE(YEAR(A613),MONTH(A613),1))</f>
        <v/>
      </c>
    </row>
    <row r="614">
      <c r="A614" s="48" t="n"/>
      <c r="B614" s="44" t="n"/>
      <c r="C614" s="44" t="n"/>
      <c r="D614" s="45" t="n"/>
      <c r="E614" s="44" t="n"/>
      <c r="F614" s="23">
        <f>IF(B614="","",IFERROR(INDEX(Cat_Tipo,MATCH(B614,Lista_Categorias,0)),"Deseo"))</f>
        <v/>
      </c>
      <c r="G614" s="23">
        <f>IF(A614="","",WEEKNUM(A614,2))</f>
        <v/>
      </c>
      <c r="H614" s="49">
        <f>IF(A614="","",DATE(YEAR(A614),MONTH(A614),1))</f>
        <v/>
      </c>
    </row>
    <row r="615">
      <c r="A615" s="48" t="n"/>
      <c r="B615" s="44" t="n"/>
      <c r="C615" s="44" t="n"/>
      <c r="D615" s="45" t="n"/>
      <c r="E615" s="44" t="n"/>
      <c r="F615" s="23">
        <f>IF(B615="","",IFERROR(INDEX(Cat_Tipo,MATCH(B615,Lista_Categorias,0)),"Deseo"))</f>
        <v/>
      </c>
      <c r="G615" s="23">
        <f>IF(A615="","",WEEKNUM(A615,2))</f>
        <v/>
      </c>
      <c r="H615" s="49">
        <f>IF(A615="","",DATE(YEAR(A615),MONTH(A615),1))</f>
        <v/>
      </c>
    </row>
    <row r="616">
      <c r="A616" s="48" t="n"/>
      <c r="B616" s="44" t="n"/>
      <c r="C616" s="44" t="n"/>
      <c r="D616" s="45" t="n"/>
      <c r="E616" s="44" t="n"/>
      <c r="F616" s="23">
        <f>IF(B616="","",IFERROR(INDEX(Cat_Tipo,MATCH(B616,Lista_Categorias,0)),"Deseo"))</f>
        <v/>
      </c>
      <c r="G616" s="23">
        <f>IF(A616="","",WEEKNUM(A616,2))</f>
        <v/>
      </c>
      <c r="H616" s="49">
        <f>IF(A616="","",DATE(YEAR(A616),MONTH(A616),1))</f>
        <v/>
      </c>
    </row>
    <row r="617">
      <c r="A617" s="48" t="n"/>
      <c r="B617" s="44" t="n"/>
      <c r="C617" s="44" t="n"/>
      <c r="D617" s="45" t="n"/>
      <c r="E617" s="44" t="n"/>
      <c r="F617" s="23">
        <f>IF(B617="","",IFERROR(INDEX(Cat_Tipo,MATCH(B617,Lista_Categorias,0)),"Deseo"))</f>
        <v/>
      </c>
      <c r="G617" s="23">
        <f>IF(A617="","",WEEKNUM(A617,2))</f>
        <v/>
      </c>
      <c r="H617" s="49">
        <f>IF(A617="","",DATE(YEAR(A617),MONTH(A617),1))</f>
        <v/>
      </c>
    </row>
    <row r="618">
      <c r="A618" s="48" t="n"/>
      <c r="B618" s="44" t="n"/>
      <c r="C618" s="44" t="n"/>
      <c r="D618" s="45" t="n"/>
      <c r="E618" s="44" t="n"/>
      <c r="F618" s="23">
        <f>IF(B618="","",IFERROR(INDEX(Cat_Tipo,MATCH(B618,Lista_Categorias,0)),"Deseo"))</f>
        <v/>
      </c>
      <c r="G618" s="23">
        <f>IF(A618="","",WEEKNUM(A618,2))</f>
        <v/>
      </c>
      <c r="H618" s="49">
        <f>IF(A618="","",DATE(YEAR(A618),MONTH(A618),1))</f>
        <v/>
      </c>
    </row>
    <row r="619">
      <c r="A619" s="48" t="n"/>
      <c r="B619" s="44" t="n"/>
      <c r="C619" s="44" t="n"/>
      <c r="D619" s="45" t="n"/>
      <c r="E619" s="44" t="n"/>
      <c r="F619" s="23">
        <f>IF(B619="","",IFERROR(INDEX(Cat_Tipo,MATCH(B619,Lista_Categorias,0)),"Deseo"))</f>
        <v/>
      </c>
      <c r="G619" s="23">
        <f>IF(A619="","",WEEKNUM(A619,2))</f>
        <v/>
      </c>
      <c r="H619" s="49">
        <f>IF(A619="","",DATE(YEAR(A619),MONTH(A619),1))</f>
        <v/>
      </c>
    </row>
    <row r="620">
      <c r="A620" s="48" t="n"/>
      <c r="B620" s="44" t="n"/>
      <c r="C620" s="44" t="n"/>
      <c r="D620" s="45" t="n"/>
      <c r="E620" s="44" t="n"/>
      <c r="F620" s="23">
        <f>IF(B620="","",IFERROR(INDEX(Cat_Tipo,MATCH(B620,Lista_Categorias,0)),"Deseo"))</f>
        <v/>
      </c>
      <c r="G620" s="23">
        <f>IF(A620="","",WEEKNUM(A620,2))</f>
        <v/>
      </c>
      <c r="H620" s="49">
        <f>IF(A620="","",DATE(YEAR(A620),MONTH(A620),1))</f>
        <v/>
      </c>
    </row>
    <row r="621">
      <c r="A621" s="48" t="n"/>
      <c r="B621" s="44" t="n"/>
      <c r="C621" s="44" t="n"/>
      <c r="D621" s="45" t="n"/>
      <c r="E621" s="44" t="n"/>
      <c r="F621" s="23">
        <f>IF(B621="","",IFERROR(INDEX(Cat_Tipo,MATCH(B621,Lista_Categorias,0)),"Deseo"))</f>
        <v/>
      </c>
      <c r="G621" s="23">
        <f>IF(A621="","",WEEKNUM(A621,2))</f>
        <v/>
      </c>
      <c r="H621" s="49">
        <f>IF(A621="","",DATE(YEAR(A621),MONTH(A621),1))</f>
        <v/>
      </c>
    </row>
    <row r="622">
      <c r="A622" s="48" t="n"/>
      <c r="B622" s="44" t="n"/>
      <c r="C622" s="44" t="n"/>
      <c r="D622" s="45" t="n"/>
      <c r="E622" s="44" t="n"/>
      <c r="F622" s="23">
        <f>IF(B622="","",IFERROR(INDEX(Cat_Tipo,MATCH(B622,Lista_Categorias,0)),"Deseo"))</f>
        <v/>
      </c>
      <c r="G622" s="23">
        <f>IF(A622="","",WEEKNUM(A622,2))</f>
        <v/>
      </c>
      <c r="H622" s="49">
        <f>IF(A622="","",DATE(YEAR(A622),MONTH(A622),1))</f>
        <v/>
      </c>
    </row>
    <row r="623">
      <c r="A623" s="48" t="n"/>
      <c r="B623" s="44" t="n"/>
      <c r="C623" s="44" t="n"/>
      <c r="D623" s="45" t="n"/>
      <c r="E623" s="44" t="n"/>
      <c r="F623" s="23">
        <f>IF(B623="","",IFERROR(INDEX(Cat_Tipo,MATCH(B623,Lista_Categorias,0)),"Deseo"))</f>
        <v/>
      </c>
      <c r="G623" s="23">
        <f>IF(A623="","",WEEKNUM(A623,2))</f>
        <v/>
      </c>
      <c r="H623" s="49">
        <f>IF(A623="","",DATE(YEAR(A623),MONTH(A623),1))</f>
        <v/>
      </c>
    </row>
    <row r="624">
      <c r="A624" s="48" t="n"/>
      <c r="B624" s="44" t="n"/>
      <c r="C624" s="44" t="n"/>
      <c r="D624" s="45" t="n"/>
      <c r="E624" s="44" t="n"/>
      <c r="F624" s="23">
        <f>IF(B624="","",IFERROR(INDEX(Cat_Tipo,MATCH(B624,Lista_Categorias,0)),"Deseo"))</f>
        <v/>
      </c>
      <c r="G624" s="23">
        <f>IF(A624="","",WEEKNUM(A624,2))</f>
        <v/>
      </c>
      <c r="H624" s="49">
        <f>IF(A624="","",DATE(YEAR(A624),MONTH(A624),1))</f>
        <v/>
      </c>
    </row>
    <row r="625">
      <c r="A625" s="48" t="n"/>
      <c r="B625" s="44" t="n"/>
      <c r="C625" s="44" t="n"/>
      <c r="D625" s="45" t="n"/>
      <c r="E625" s="44" t="n"/>
      <c r="F625" s="23">
        <f>IF(B625="","",IFERROR(INDEX(Cat_Tipo,MATCH(B625,Lista_Categorias,0)),"Deseo"))</f>
        <v/>
      </c>
      <c r="G625" s="23">
        <f>IF(A625="","",WEEKNUM(A625,2))</f>
        <v/>
      </c>
      <c r="H625" s="49">
        <f>IF(A625="","",DATE(YEAR(A625),MONTH(A625),1))</f>
        <v/>
      </c>
    </row>
    <row r="626">
      <c r="A626" s="48" t="n"/>
      <c r="B626" s="44" t="n"/>
      <c r="C626" s="44" t="n"/>
      <c r="D626" s="45" t="n"/>
      <c r="E626" s="44" t="n"/>
      <c r="F626" s="23">
        <f>IF(B626="","",IFERROR(INDEX(Cat_Tipo,MATCH(B626,Lista_Categorias,0)),"Deseo"))</f>
        <v/>
      </c>
      <c r="G626" s="23">
        <f>IF(A626="","",WEEKNUM(A626,2))</f>
        <v/>
      </c>
      <c r="H626" s="49">
        <f>IF(A626="","",DATE(YEAR(A626),MONTH(A626),1))</f>
        <v/>
      </c>
    </row>
    <row r="627">
      <c r="A627" s="48" t="n"/>
      <c r="B627" s="44" t="n"/>
      <c r="C627" s="44" t="n"/>
      <c r="D627" s="45" t="n"/>
      <c r="E627" s="44" t="n"/>
      <c r="F627" s="23">
        <f>IF(B627="","",IFERROR(INDEX(Cat_Tipo,MATCH(B627,Lista_Categorias,0)),"Deseo"))</f>
        <v/>
      </c>
      <c r="G627" s="23">
        <f>IF(A627="","",WEEKNUM(A627,2))</f>
        <v/>
      </c>
      <c r="H627" s="49">
        <f>IF(A627="","",DATE(YEAR(A627),MONTH(A627),1))</f>
        <v/>
      </c>
    </row>
    <row r="628">
      <c r="A628" s="48" t="n"/>
      <c r="B628" s="44" t="n"/>
      <c r="C628" s="44" t="n"/>
      <c r="D628" s="45" t="n"/>
      <c r="E628" s="44" t="n"/>
      <c r="F628" s="23">
        <f>IF(B628="","",IFERROR(INDEX(Cat_Tipo,MATCH(B628,Lista_Categorias,0)),"Deseo"))</f>
        <v/>
      </c>
      <c r="G628" s="23">
        <f>IF(A628="","",WEEKNUM(A628,2))</f>
        <v/>
      </c>
      <c r="H628" s="49">
        <f>IF(A628="","",DATE(YEAR(A628),MONTH(A628),1))</f>
        <v/>
      </c>
    </row>
    <row r="629">
      <c r="A629" s="48" t="n"/>
      <c r="B629" s="44" t="n"/>
      <c r="C629" s="44" t="n"/>
      <c r="D629" s="45" t="n"/>
      <c r="E629" s="44" t="n"/>
      <c r="F629" s="23">
        <f>IF(B629="","",IFERROR(INDEX(Cat_Tipo,MATCH(B629,Lista_Categorias,0)),"Deseo"))</f>
        <v/>
      </c>
      <c r="G629" s="23">
        <f>IF(A629="","",WEEKNUM(A629,2))</f>
        <v/>
      </c>
      <c r="H629" s="49">
        <f>IF(A629="","",DATE(YEAR(A629),MONTH(A629),1))</f>
        <v/>
      </c>
    </row>
    <row r="630">
      <c r="A630" s="48" t="n"/>
      <c r="B630" s="44" t="n"/>
      <c r="C630" s="44" t="n"/>
      <c r="D630" s="45" t="n"/>
      <c r="E630" s="44" t="n"/>
      <c r="F630" s="23">
        <f>IF(B630="","",IFERROR(INDEX(Cat_Tipo,MATCH(B630,Lista_Categorias,0)),"Deseo"))</f>
        <v/>
      </c>
      <c r="G630" s="23">
        <f>IF(A630="","",WEEKNUM(A630,2))</f>
        <v/>
      </c>
      <c r="H630" s="49">
        <f>IF(A630="","",DATE(YEAR(A630),MONTH(A630),1))</f>
        <v/>
      </c>
    </row>
    <row r="631">
      <c r="A631" s="48" t="n"/>
      <c r="B631" s="44" t="n"/>
      <c r="C631" s="44" t="n"/>
      <c r="D631" s="45" t="n"/>
      <c r="E631" s="44" t="n"/>
      <c r="F631" s="23">
        <f>IF(B631="","",IFERROR(INDEX(Cat_Tipo,MATCH(B631,Lista_Categorias,0)),"Deseo"))</f>
        <v/>
      </c>
      <c r="G631" s="23">
        <f>IF(A631="","",WEEKNUM(A631,2))</f>
        <v/>
      </c>
      <c r="H631" s="49">
        <f>IF(A631="","",DATE(YEAR(A631),MONTH(A631),1))</f>
        <v/>
      </c>
    </row>
    <row r="632">
      <c r="A632" s="48" t="n"/>
      <c r="B632" s="44" t="n"/>
      <c r="C632" s="44" t="n"/>
      <c r="D632" s="45" t="n"/>
      <c r="E632" s="44" t="n"/>
      <c r="F632" s="23">
        <f>IF(B632="","",IFERROR(INDEX(Cat_Tipo,MATCH(B632,Lista_Categorias,0)),"Deseo"))</f>
        <v/>
      </c>
      <c r="G632" s="23">
        <f>IF(A632="","",WEEKNUM(A632,2))</f>
        <v/>
      </c>
      <c r="H632" s="49">
        <f>IF(A632="","",DATE(YEAR(A632),MONTH(A632),1))</f>
        <v/>
      </c>
    </row>
    <row r="633">
      <c r="A633" s="48" t="n"/>
      <c r="B633" s="44" t="n"/>
      <c r="C633" s="44" t="n"/>
      <c r="D633" s="45" t="n"/>
      <c r="E633" s="44" t="n"/>
      <c r="F633" s="23">
        <f>IF(B633="","",IFERROR(INDEX(Cat_Tipo,MATCH(B633,Lista_Categorias,0)),"Deseo"))</f>
        <v/>
      </c>
      <c r="G633" s="23">
        <f>IF(A633="","",WEEKNUM(A633,2))</f>
        <v/>
      </c>
      <c r="H633" s="49">
        <f>IF(A633="","",DATE(YEAR(A633),MONTH(A633),1))</f>
        <v/>
      </c>
    </row>
    <row r="634">
      <c r="A634" s="48" t="n"/>
      <c r="B634" s="44" t="n"/>
      <c r="C634" s="44" t="n"/>
      <c r="D634" s="45" t="n"/>
      <c r="E634" s="44" t="n"/>
      <c r="F634" s="23">
        <f>IF(B634="","",IFERROR(INDEX(Cat_Tipo,MATCH(B634,Lista_Categorias,0)),"Deseo"))</f>
        <v/>
      </c>
      <c r="G634" s="23">
        <f>IF(A634="","",WEEKNUM(A634,2))</f>
        <v/>
      </c>
      <c r="H634" s="49">
        <f>IF(A634="","",DATE(YEAR(A634),MONTH(A634),1))</f>
        <v/>
      </c>
    </row>
    <row r="635">
      <c r="A635" s="48" t="n"/>
      <c r="B635" s="44" t="n"/>
      <c r="C635" s="44" t="n"/>
      <c r="D635" s="45" t="n"/>
      <c r="E635" s="44" t="n"/>
      <c r="F635" s="23">
        <f>IF(B635="","",IFERROR(INDEX(Cat_Tipo,MATCH(B635,Lista_Categorias,0)),"Deseo"))</f>
        <v/>
      </c>
      <c r="G635" s="23">
        <f>IF(A635="","",WEEKNUM(A635,2))</f>
        <v/>
      </c>
      <c r="H635" s="49">
        <f>IF(A635="","",DATE(YEAR(A635),MONTH(A635),1))</f>
        <v/>
      </c>
    </row>
    <row r="636">
      <c r="A636" s="48" t="n"/>
      <c r="B636" s="44" t="n"/>
      <c r="C636" s="44" t="n"/>
      <c r="D636" s="45" t="n"/>
      <c r="E636" s="44" t="n"/>
      <c r="F636" s="23">
        <f>IF(B636="","",IFERROR(INDEX(Cat_Tipo,MATCH(B636,Lista_Categorias,0)),"Deseo"))</f>
        <v/>
      </c>
      <c r="G636" s="23">
        <f>IF(A636="","",WEEKNUM(A636,2))</f>
        <v/>
      </c>
      <c r="H636" s="49">
        <f>IF(A636="","",DATE(YEAR(A636),MONTH(A636),1))</f>
        <v/>
      </c>
    </row>
    <row r="637">
      <c r="A637" s="48" t="n"/>
      <c r="B637" s="44" t="n"/>
      <c r="C637" s="44" t="n"/>
      <c r="D637" s="45" t="n"/>
      <c r="E637" s="44" t="n"/>
      <c r="F637" s="23">
        <f>IF(B637="","",IFERROR(INDEX(Cat_Tipo,MATCH(B637,Lista_Categorias,0)),"Deseo"))</f>
        <v/>
      </c>
      <c r="G637" s="23">
        <f>IF(A637="","",WEEKNUM(A637,2))</f>
        <v/>
      </c>
      <c r="H637" s="49">
        <f>IF(A637="","",DATE(YEAR(A637),MONTH(A637),1))</f>
        <v/>
      </c>
    </row>
    <row r="638">
      <c r="A638" s="48" t="n"/>
      <c r="B638" s="44" t="n"/>
      <c r="C638" s="44" t="n"/>
      <c r="D638" s="45" t="n"/>
      <c r="E638" s="44" t="n"/>
      <c r="F638" s="23">
        <f>IF(B638="","",IFERROR(INDEX(Cat_Tipo,MATCH(B638,Lista_Categorias,0)),"Deseo"))</f>
        <v/>
      </c>
      <c r="G638" s="23">
        <f>IF(A638="","",WEEKNUM(A638,2))</f>
        <v/>
      </c>
      <c r="H638" s="49">
        <f>IF(A638="","",DATE(YEAR(A638),MONTH(A638),1))</f>
        <v/>
      </c>
    </row>
    <row r="639">
      <c r="A639" s="48" t="n"/>
      <c r="B639" s="44" t="n"/>
      <c r="C639" s="44" t="n"/>
      <c r="D639" s="45" t="n"/>
      <c r="E639" s="44" t="n"/>
      <c r="F639" s="23">
        <f>IF(B639="","",IFERROR(INDEX(Cat_Tipo,MATCH(B639,Lista_Categorias,0)),"Deseo"))</f>
        <v/>
      </c>
      <c r="G639" s="23">
        <f>IF(A639="","",WEEKNUM(A639,2))</f>
        <v/>
      </c>
      <c r="H639" s="49">
        <f>IF(A639="","",DATE(YEAR(A639),MONTH(A639),1))</f>
        <v/>
      </c>
    </row>
    <row r="640">
      <c r="A640" s="48" t="n"/>
      <c r="B640" s="44" t="n"/>
      <c r="C640" s="44" t="n"/>
      <c r="D640" s="45" t="n"/>
      <c r="E640" s="44" t="n"/>
      <c r="F640" s="23">
        <f>IF(B640="","",IFERROR(INDEX(Cat_Tipo,MATCH(B640,Lista_Categorias,0)),"Deseo"))</f>
        <v/>
      </c>
      <c r="G640" s="23">
        <f>IF(A640="","",WEEKNUM(A640,2))</f>
        <v/>
      </c>
      <c r="H640" s="49">
        <f>IF(A640="","",DATE(YEAR(A640),MONTH(A640),1))</f>
        <v/>
      </c>
    </row>
    <row r="641">
      <c r="A641" s="48" t="n"/>
      <c r="B641" s="44" t="n"/>
      <c r="C641" s="44" t="n"/>
      <c r="D641" s="45" t="n"/>
      <c r="E641" s="44" t="n"/>
      <c r="F641" s="23">
        <f>IF(B641="","",IFERROR(INDEX(Cat_Tipo,MATCH(B641,Lista_Categorias,0)),"Deseo"))</f>
        <v/>
      </c>
      <c r="G641" s="23">
        <f>IF(A641="","",WEEKNUM(A641,2))</f>
        <v/>
      </c>
      <c r="H641" s="49">
        <f>IF(A641="","",DATE(YEAR(A641),MONTH(A641),1))</f>
        <v/>
      </c>
    </row>
    <row r="642">
      <c r="A642" s="48" t="n"/>
      <c r="B642" s="44" t="n"/>
      <c r="C642" s="44" t="n"/>
      <c r="D642" s="45" t="n"/>
      <c r="E642" s="44" t="n"/>
      <c r="F642" s="23">
        <f>IF(B642="","",IFERROR(INDEX(Cat_Tipo,MATCH(B642,Lista_Categorias,0)),"Deseo"))</f>
        <v/>
      </c>
      <c r="G642" s="23">
        <f>IF(A642="","",WEEKNUM(A642,2))</f>
        <v/>
      </c>
      <c r="H642" s="49">
        <f>IF(A642="","",DATE(YEAR(A642),MONTH(A642),1))</f>
        <v/>
      </c>
    </row>
    <row r="643">
      <c r="A643" s="48" t="n"/>
      <c r="B643" s="44" t="n"/>
      <c r="C643" s="44" t="n"/>
      <c r="D643" s="45" t="n"/>
      <c r="E643" s="44" t="n"/>
      <c r="F643" s="23">
        <f>IF(B643="","",IFERROR(INDEX(Cat_Tipo,MATCH(B643,Lista_Categorias,0)),"Deseo"))</f>
        <v/>
      </c>
      <c r="G643" s="23">
        <f>IF(A643="","",WEEKNUM(A643,2))</f>
        <v/>
      </c>
      <c r="H643" s="49">
        <f>IF(A643="","",DATE(YEAR(A643),MONTH(A643),1))</f>
        <v/>
      </c>
    </row>
    <row r="644">
      <c r="A644" s="48" t="n"/>
      <c r="B644" s="44" t="n"/>
      <c r="C644" s="44" t="n"/>
      <c r="D644" s="45" t="n"/>
      <c r="E644" s="44" t="n"/>
      <c r="F644" s="23">
        <f>IF(B644="","",IFERROR(INDEX(Cat_Tipo,MATCH(B644,Lista_Categorias,0)),"Deseo"))</f>
        <v/>
      </c>
      <c r="G644" s="23">
        <f>IF(A644="","",WEEKNUM(A644,2))</f>
        <v/>
      </c>
      <c r="H644" s="49">
        <f>IF(A644="","",DATE(YEAR(A644),MONTH(A644),1))</f>
        <v/>
      </c>
    </row>
    <row r="645">
      <c r="A645" s="48" t="n"/>
      <c r="B645" s="44" t="n"/>
      <c r="C645" s="44" t="n"/>
      <c r="D645" s="45" t="n"/>
      <c r="E645" s="44" t="n"/>
      <c r="F645" s="23">
        <f>IF(B645="","",IFERROR(INDEX(Cat_Tipo,MATCH(B645,Lista_Categorias,0)),"Deseo"))</f>
        <v/>
      </c>
      <c r="G645" s="23">
        <f>IF(A645="","",WEEKNUM(A645,2))</f>
        <v/>
      </c>
      <c r="H645" s="49">
        <f>IF(A645="","",DATE(YEAR(A645),MONTH(A645),1))</f>
        <v/>
      </c>
    </row>
    <row r="646">
      <c r="A646" s="48" t="n"/>
      <c r="B646" s="44" t="n"/>
      <c r="C646" s="44" t="n"/>
      <c r="D646" s="45" t="n"/>
      <c r="E646" s="44" t="n"/>
      <c r="F646" s="23">
        <f>IF(B646="","",IFERROR(INDEX(Cat_Tipo,MATCH(B646,Lista_Categorias,0)),"Deseo"))</f>
        <v/>
      </c>
      <c r="G646" s="23">
        <f>IF(A646="","",WEEKNUM(A646,2))</f>
        <v/>
      </c>
      <c r="H646" s="49">
        <f>IF(A646="","",DATE(YEAR(A646),MONTH(A646),1))</f>
        <v/>
      </c>
    </row>
    <row r="647">
      <c r="A647" s="48" t="n"/>
      <c r="B647" s="44" t="n"/>
      <c r="C647" s="44" t="n"/>
      <c r="D647" s="45" t="n"/>
      <c r="E647" s="44" t="n"/>
      <c r="F647" s="23">
        <f>IF(B647="","",IFERROR(INDEX(Cat_Tipo,MATCH(B647,Lista_Categorias,0)),"Deseo"))</f>
        <v/>
      </c>
      <c r="G647" s="23">
        <f>IF(A647="","",WEEKNUM(A647,2))</f>
        <v/>
      </c>
      <c r="H647" s="49">
        <f>IF(A647="","",DATE(YEAR(A647),MONTH(A647),1))</f>
        <v/>
      </c>
    </row>
    <row r="648">
      <c r="A648" s="48" t="n"/>
      <c r="B648" s="44" t="n"/>
      <c r="C648" s="44" t="n"/>
      <c r="D648" s="45" t="n"/>
      <c r="E648" s="44" t="n"/>
      <c r="F648" s="23">
        <f>IF(B648="","",IFERROR(INDEX(Cat_Tipo,MATCH(B648,Lista_Categorias,0)),"Deseo"))</f>
        <v/>
      </c>
      <c r="G648" s="23">
        <f>IF(A648="","",WEEKNUM(A648,2))</f>
        <v/>
      </c>
      <c r="H648" s="49">
        <f>IF(A648="","",DATE(YEAR(A648),MONTH(A648),1))</f>
        <v/>
      </c>
    </row>
    <row r="649">
      <c r="A649" s="48" t="n"/>
      <c r="B649" s="44" t="n"/>
      <c r="C649" s="44" t="n"/>
      <c r="D649" s="45" t="n"/>
      <c r="E649" s="44" t="n"/>
      <c r="F649" s="23">
        <f>IF(B649="","",IFERROR(INDEX(Cat_Tipo,MATCH(B649,Lista_Categorias,0)),"Deseo"))</f>
        <v/>
      </c>
      <c r="G649" s="23">
        <f>IF(A649="","",WEEKNUM(A649,2))</f>
        <v/>
      </c>
      <c r="H649" s="49">
        <f>IF(A649="","",DATE(YEAR(A649),MONTH(A649),1))</f>
        <v/>
      </c>
    </row>
    <row r="650">
      <c r="A650" s="48" t="n"/>
      <c r="B650" s="44" t="n"/>
      <c r="C650" s="44" t="n"/>
      <c r="D650" s="45" t="n"/>
      <c r="E650" s="44" t="n"/>
      <c r="F650" s="23">
        <f>IF(B650="","",IFERROR(INDEX(Cat_Tipo,MATCH(B650,Lista_Categorias,0)),"Deseo"))</f>
        <v/>
      </c>
      <c r="G650" s="23">
        <f>IF(A650="","",WEEKNUM(A650,2))</f>
        <v/>
      </c>
      <c r="H650" s="49">
        <f>IF(A650="","",DATE(YEAR(A650),MONTH(A650),1))</f>
        <v/>
      </c>
    </row>
    <row r="651">
      <c r="A651" s="48" t="n"/>
      <c r="B651" s="44" t="n"/>
      <c r="C651" s="44" t="n"/>
      <c r="D651" s="45" t="n"/>
      <c r="E651" s="44" t="n"/>
      <c r="F651" s="23">
        <f>IF(B651="","",IFERROR(INDEX(Cat_Tipo,MATCH(B651,Lista_Categorias,0)),"Deseo"))</f>
        <v/>
      </c>
      <c r="G651" s="23">
        <f>IF(A651="","",WEEKNUM(A651,2))</f>
        <v/>
      </c>
      <c r="H651" s="49">
        <f>IF(A651="","",DATE(YEAR(A651),MONTH(A651),1))</f>
        <v/>
      </c>
    </row>
    <row r="652">
      <c r="A652" s="48" t="n"/>
      <c r="B652" s="44" t="n"/>
      <c r="C652" s="44" t="n"/>
      <c r="D652" s="45" t="n"/>
      <c r="E652" s="44" t="n"/>
      <c r="F652" s="23">
        <f>IF(B652="","",IFERROR(INDEX(Cat_Tipo,MATCH(B652,Lista_Categorias,0)),"Deseo"))</f>
        <v/>
      </c>
      <c r="G652" s="23">
        <f>IF(A652="","",WEEKNUM(A652,2))</f>
        <v/>
      </c>
      <c r="H652" s="49">
        <f>IF(A652="","",DATE(YEAR(A652),MONTH(A652),1))</f>
        <v/>
      </c>
    </row>
    <row r="653">
      <c r="A653" s="48" t="n"/>
      <c r="B653" s="44" t="n"/>
      <c r="C653" s="44" t="n"/>
      <c r="D653" s="45" t="n"/>
      <c r="E653" s="44" t="n"/>
      <c r="F653" s="23">
        <f>IF(B653="","",IFERROR(INDEX(Cat_Tipo,MATCH(B653,Lista_Categorias,0)),"Deseo"))</f>
        <v/>
      </c>
      <c r="G653" s="23">
        <f>IF(A653="","",WEEKNUM(A653,2))</f>
        <v/>
      </c>
      <c r="H653" s="49">
        <f>IF(A653="","",DATE(YEAR(A653),MONTH(A653),1))</f>
        <v/>
      </c>
    </row>
    <row r="654">
      <c r="A654" s="48" t="n"/>
      <c r="B654" s="44" t="n"/>
      <c r="C654" s="44" t="n"/>
      <c r="D654" s="45" t="n"/>
      <c r="E654" s="44" t="n"/>
      <c r="F654" s="23">
        <f>IF(B654="","",IFERROR(INDEX(Cat_Tipo,MATCH(B654,Lista_Categorias,0)),"Deseo"))</f>
        <v/>
      </c>
      <c r="G654" s="23">
        <f>IF(A654="","",WEEKNUM(A654,2))</f>
        <v/>
      </c>
      <c r="H654" s="49">
        <f>IF(A654="","",DATE(YEAR(A654),MONTH(A654),1))</f>
        <v/>
      </c>
    </row>
    <row r="655">
      <c r="A655" s="48" t="n"/>
      <c r="B655" s="44" t="n"/>
      <c r="C655" s="44" t="n"/>
      <c r="D655" s="45" t="n"/>
      <c r="E655" s="44" t="n"/>
      <c r="F655" s="23">
        <f>IF(B655="","",IFERROR(INDEX(Cat_Tipo,MATCH(B655,Lista_Categorias,0)),"Deseo"))</f>
        <v/>
      </c>
      <c r="G655" s="23">
        <f>IF(A655="","",WEEKNUM(A655,2))</f>
        <v/>
      </c>
      <c r="H655" s="49">
        <f>IF(A655="","",DATE(YEAR(A655),MONTH(A655),1))</f>
        <v/>
      </c>
    </row>
    <row r="656">
      <c r="A656" s="48" t="n"/>
      <c r="B656" s="44" t="n"/>
      <c r="C656" s="44" t="n"/>
      <c r="D656" s="45" t="n"/>
      <c r="E656" s="44" t="n"/>
      <c r="F656" s="23">
        <f>IF(B656="","",IFERROR(INDEX(Cat_Tipo,MATCH(B656,Lista_Categorias,0)),"Deseo"))</f>
        <v/>
      </c>
      <c r="G656" s="23">
        <f>IF(A656="","",WEEKNUM(A656,2))</f>
        <v/>
      </c>
      <c r="H656" s="49">
        <f>IF(A656="","",DATE(YEAR(A656),MONTH(A656),1))</f>
        <v/>
      </c>
    </row>
    <row r="657">
      <c r="A657" s="48" t="n"/>
      <c r="B657" s="44" t="n"/>
      <c r="C657" s="44" t="n"/>
      <c r="D657" s="45" t="n"/>
      <c r="E657" s="44" t="n"/>
      <c r="F657" s="23">
        <f>IF(B657="","",IFERROR(INDEX(Cat_Tipo,MATCH(B657,Lista_Categorias,0)),"Deseo"))</f>
        <v/>
      </c>
      <c r="G657" s="23">
        <f>IF(A657="","",WEEKNUM(A657,2))</f>
        <v/>
      </c>
      <c r="H657" s="49">
        <f>IF(A657="","",DATE(YEAR(A657),MONTH(A657),1))</f>
        <v/>
      </c>
    </row>
    <row r="658">
      <c r="A658" s="48" t="n"/>
      <c r="B658" s="44" t="n"/>
      <c r="C658" s="44" t="n"/>
      <c r="D658" s="45" t="n"/>
      <c r="E658" s="44" t="n"/>
      <c r="F658" s="23">
        <f>IF(B658="","",IFERROR(INDEX(Cat_Tipo,MATCH(B658,Lista_Categorias,0)),"Deseo"))</f>
        <v/>
      </c>
      <c r="G658" s="23">
        <f>IF(A658="","",WEEKNUM(A658,2))</f>
        <v/>
      </c>
      <c r="H658" s="49">
        <f>IF(A658="","",DATE(YEAR(A658),MONTH(A658),1))</f>
        <v/>
      </c>
    </row>
    <row r="659">
      <c r="A659" s="48" t="n"/>
      <c r="B659" s="44" t="n"/>
      <c r="C659" s="44" t="n"/>
      <c r="D659" s="45" t="n"/>
      <c r="E659" s="44" t="n"/>
      <c r="F659" s="23">
        <f>IF(B659="","",IFERROR(INDEX(Cat_Tipo,MATCH(B659,Lista_Categorias,0)),"Deseo"))</f>
        <v/>
      </c>
      <c r="G659" s="23">
        <f>IF(A659="","",WEEKNUM(A659,2))</f>
        <v/>
      </c>
      <c r="H659" s="49">
        <f>IF(A659="","",DATE(YEAR(A659),MONTH(A659),1))</f>
        <v/>
      </c>
    </row>
    <row r="660">
      <c r="A660" s="48" t="n"/>
      <c r="B660" s="44" t="n"/>
      <c r="C660" s="44" t="n"/>
      <c r="D660" s="45" t="n"/>
      <c r="E660" s="44" t="n"/>
      <c r="F660" s="23">
        <f>IF(B660="","",IFERROR(INDEX(Cat_Tipo,MATCH(B660,Lista_Categorias,0)),"Deseo"))</f>
        <v/>
      </c>
      <c r="G660" s="23">
        <f>IF(A660="","",WEEKNUM(A660,2))</f>
        <v/>
      </c>
      <c r="H660" s="49">
        <f>IF(A660="","",DATE(YEAR(A660),MONTH(A660),1))</f>
        <v/>
      </c>
    </row>
    <row r="661">
      <c r="A661" s="48" t="n"/>
      <c r="B661" s="44" t="n"/>
      <c r="C661" s="44" t="n"/>
      <c r="D661" s="45" t="n"/>
      <c r="E661" s="44" t="n"/>
      <c r="F661" s="23">
        <f>IF(B661="","",IFERROR(INDEX(Cat_Tipo,MATCH(B661,Lista_Categorias,0)),"Deseo"))</f>
        <v/>
      </c>
      <c r="G661" s="23">
        <f>IF(A661="","",WEEKNUM(A661,2))</f>
        <v/>
      </c>
      <c r="H661" s="49">
        <f>IF(A661="","",DATE(YEAR(A661),MONTH(A661),1))</f>
        <v/>
      </c>
    </row>
    <row r="662">
      <c r="A662" s="48" t="n"/>
      <c r="B662" s="44" t="n"/>
      <c r="C662" s="44" t="n"/>
      <c r="D662" s="45" t="n"/>
      <c r="E662" s="44" t="n"/>
      <c r="F662" s="23">
        <f>IF(B662="","",IFERROR(INDEX(Cat_Tipo,MATCH(B662,Lista_Categorias,0)),"Deseo"))</f>
        <v/>
      </c>
      <c r="G662" s="23">
        <f>IF(A662="","",WEEKNUM(A662,2))</f>
        <v/>
      </c>
      <c r="H662" s="49">
        <f>IF(A662="","",DATE(YEAR(A662),MONTH(A662),1))</f>
        <v/>
      </c>
    </row>
    <row r="663">
      <c r="A663" s="48" t="n"/>
      <c r="B663" s="44" t="n"/>
      <c r="C663" s="44" t="n"/>
      <c r="D663" s="45" t="n"/>
      <c r="E663" s="44" t="n"/>
      <c r="F663" s="23">
        <f>IF(B663="","",IFERROR(INDEX(Cat_Tipo,MATCH(B663,Lista_Categorias,0)),"Deseo"))</f>
        <v/>
      </c>
      <c r="G663" s="23">
        <f>IF(A663="","",WEEKNUM(A663,2))</f>
        <v/>
      </c>
      <c r="H663" s="49">
        <f>IF(A663="","",DATE(YEAR(A663),MONTH(A663),1))</f>
        <v/>
      </c>
    </row>
    <row r="664">
      <c r="A664" s="48" t="n"/>
      <c r="B664" s="44" t="n"/>
      <c r="C664" s="44" t="n"/>
      <c r="D664" s="45" t="n"/>
      <c r="E664" s="44" t="n"/>
      <c r="F664" s="23">
        <f>IF(B664="","",IFERROR(INDEX(Cat_Tipo,MATCH(B664,Lista_Categorias,0)),"Deseo"))</f>
        <v/>
      </c>
      <c r="G664" s="23">
        <f>IF(A664="","",WEEKNUM(A664,2))</f>
        <v/>
      </c>
      <c r="H664" s="49">
        <f>IF(A664="","",DATE(YEAR(A664),MONTH(A664),1))</f>
        <v/>
      </c>
    </row>
    <row r="665">
      <c r="A665" s="48" t="n"/>
      <c r="B665" s="44" t="n"/>
      <c r="C665" s="44" t="n"/>
      <c r="D665" s="45" t="n"/>
      <c r="E665" s="44" t="n"/>
      <c r="F665" s="23">
        <f>IF(B665="","",IFERROR(INDEX(Cat_Tipo,MATCH(B665,Lista_Categorias,0)),"Deseo"))</f>
        <v/>
      </c>
      <c r="G665" s="23">
        <f>IF(A665="","",WEEKNUM(A665,2))</f>
        <v/>
      </c>
      <c r="H665" s="49">
        <f>IF(A665="","",DATE(YEAR(A665),MONTH(A665),1))</f>
        <v/>
      </c>
    </row>
    <row r="666">
      <c r="A666" s="48" t="n"/>
      <c r="B666" s="44" t="n"/>
      <c r="C666" s="44" t="n"/>
      <c r="D666" s="45" t="n"/>
      <c r="E666" s="44" t="n"/>
      <c r="F666" s="23">
        <f>IF(B666="","",IFERROR(INDEX(Cat_Tipo,MATCH(B666,Lista_Categorias,0)),"Deseo"))</f>
        <v/>
      </c>
      <c r="G666" s="23">
        <f>IF(A666="","",WEEKNUM(A666,2))</f>
        <v/>
      </c>
      <c r="H666" s="49">
        <f>IF(A666="","",DATE(YEAR(A666),MONTH(A666),1))</f>
        <v/>
      </c>
    </row>
    <row r="667">
      <c r="A667" s="48" t="n"/>
      <c r="B667" s="44" t="n"/>
      <c r="C667" s="44" t="n"/>
      <c r="D667" s="45" t="n"/>
      <c r="E667" s="44" t="n"/>
      <c r="F667" s="23">
        <f>IF(B667="","",IFERROR(INDEX(Cat_Tipo,MATCH(B667,Lista_Categorias,0)),"Deseo"))</f>
        <v/>
      </c>
      <c r="G667" s="23">
        <f>IF(A667="","",WEEKNUM(A667,2))</f>
        <v/>
      </c>
      <c r="H667" s="49">
        <f>IF(A667="","",DATE(YEAR(A667),MONTH(A667),1))</f>
        <v/>
      </c>
    </row>
    <row r="668">
      <c r="A668" s="48" t="n"/>
      <c r="B668" s="44" t="n"/>
      <c r="C668" s="44" t="n"/>
      <c r="D668" s="45" t="n"/>
      <c r="E668" s="44" t="n"/>
      <c r="F668" s="23">
        <f>IF(B668="","",IFERROR(INDEX(Cat_Tipo,MATCH(B668,Lista_Categorias,0)),"Deseo"))</f>
        <v/>
      </c>
      <c r="G668" s="23">
        <f>IF(A668="","",WEEKNUM(A668,2))</f>
        <v/>
      </c>
      <c r="H668" s="49">
        <f>IF(A668="","",DATE(YEAR(A668),MONTH(A668),1))</f>
        <v/>
      </c>
    </row>
    <row r="669">
      <c r="A669" s="48" t="n"/>
      <c r="B669" s="44" t="n"/>
      <c r="C669" s="44" t="n"/>
      <c r="D669" s="45" t="n"/>
      <c r="E669" s="44" t="n"/>
      <c r="F669" s="23">
        <f>IF(B669="","",IFERROR(INDEX(Cat_Tipo,MATCH(B669,Lista_Categorias,0)),"Deseo"))</f>
        <v/>
      </c>
      <c r="G669" s="23">
        <f>IF(A669="","",WEEKNUM(A669,2))</f>
        <v/>
      </c>
      <c r="H669" s="49">
        <f>IF(A669="","",DATE(YEAR(A669),MONTH(A669),1))</f>
        <v/>
      </c>
    </row>
    <row r="670">
      <c r="A670" s="48" t="n"/>
      <c r="B670" s="44" t="n"/>
      <c r="C670" s="44" t="n"/>
      <c r="D670" s="45" t="n"/>
      <c r="E670" s="44" t="n"/>
      <c r="F670" s="23">
        <f>IF(B670="","",IFERROR(INDEX(Cat_Tipo,MATCH(B670,Lista_Categorias,0)),"Deseo"))</f>
        <v/>
      </c>
      <c r="G670" s="23">
        <f>IF(A670="","",WEEKNUM(A670,2))</f>
        <v/>
      </c>
      <c r="H670" s="49">
        <f>IF(A670="","",DATE(YEAR(A670),MONTH(A670),1))</f>
        <v/>
      </c>
    </row>
    <row r="671">
      <c r="A671" s="48" t="n"/>
      <c r="B671" s="44" t="n"/>
      <c r="C671" s="44" t="n"/>
      <c r="D671" s="45" t="n"/>
      <c r="E671" s="44" t="n"/>
      <c r="F671" s="23">
        <f>IF(B671="","",IFERROR(INDEX(Cat_Tipo,MATCH(B671,Lista_Categorias,0)),"Deseo"))</f>
        <v/>
      </c>
      <c r="G671" s="23">
        <f>IF(A671="","",WEEKNUM(A671,2))</f>
        <v/>
      </c>
      <c r="H671" s="49">
        <f>IF(A671="","",DATE(YEAR(A671),MONTH(A671),1))</f>
        <v/>
      </c>
    </row>
    <row r="672">
      <c r="A672" s="48" t="n"/>
      <c r="B672" s="44" t="n"/>
      <c r="C672" s="44" t="n"/>
      <c r="D672" s="45" t="n"/>
      <c r="E672" s="44" t="n"/>
      <c r="F672" s="23">
        <f>IF(B672="","",IFERROR(INDEX(Cat_Tipo,MATCH(B672,Lista_Categorias,0)),"Deseo"))</f>
        <v/>
      </c>
      <c r="G672" s="23">
        <f>IF(A672="","",WEEKNUM(A672,2))</f>
        <v/>
      </c>
      <c r="H672" s="49">
        <f>IF(A672="","",DATE(YEAR(A672),MONTH(A672),1))</f>
        <v/>
      </c>
    </row>
    <row r="673">
      <c r="A673" s="48" t="n"/>
      <c r="B673" s="44" t="n"/>
      <c r="C673" s="44" t="n"/>
      <c r="D673" s="45" t="n"/>
      <c r="E673" s="44" t="n"/>
      <c r="F673" s="23">
        <f>IF(B673="","",IFERROR(INDEX(Cat_Tipo,MATCH(B673,Lista_Categorias,0)),"Deseo"))</f>
        <v/>
      </c>
      <c r="G673" s="23">
        <f>IF(A673="","",WEEKNUM(A673,2))</f>
        <v/>
      </c>
      <c r="H673" s="49">
        <f>IF(A673="","",DATE(YEAR(A673),MONTH(A673),1))</f>
        <v/>
      </c>
    </row>
    <row r="674">
      <c r="A674" s="48" t="n"/>
      <c r="B674" s="44" t="n"/>
      <c r="C674" s="44" t="n"/>
      <c r="D674" s="45" t="n"/>
      <c r="E674" s="44" t="n"/>
      <c r="F674" s="23">
        <f>IF(B674="","",IFERROR(INDEX(Cat_Tipo,MATCH(B674,Lista_Categorias,0)),"Deseo"))</f>
        <v/>
      </c>
      <c r="G674" s="23">
        <f>IF(A674="","",WEEKNUM(A674,2))</f>
        <v/>
      </c>
      <c r="H674" s="49">
        <f>IF(A674="","",DATE(YEAR(A674),MONTH(A674),1))</f>
        <v/>
      </c>
    </row>
    <row r="675">
      <c r="A675" s="48" t="n"/>
      <c r="B675" s="44" t="n"/>
      <c r="C675" s="44" t="n"/>
      <c r="D675" s="45" t="n"/>
      <c r="E675" s="44" t="n"/>
      <c r="F675" s="23">
        <f>IF(B675="","",IFERROR(INDEX(Cat_Tipo,MATCH(B675,Lista_Categorias,0)),"Deseo"))</f>
        <v/>
      </c>
      <c r="G675" s="23">
        <f>IF(A675="","",WEEKNUM(A675,2))</f>
        <v/>
      </c>
      <c r="H675" s="49">
        <f>IF(A675="","",DATE(YEAR(A675),MONTH(A675),1))</f>
        <v/>
      </c>
    </row>
    <row r="676">
      <c r="A676" s="48" t="n"/>
      <c r="B676" s="44" t="n"/>
      <c r="C676" s="44" t="n"/>
      <c r="D676" s="45" t="n"/>
      <c r="E676" s="44" t="n"/>
      <c r="F676" s="23">
        <f>IF(B676="","",IFERROR(INDEX(Cat_Tipo,MATCH(B676,Lista_Categorias,0)),"Deseo"))</f>
        <v/>
      </c>
      <c r="G676" s="23">
        <f>IF(A676="","",WEEKNUM(A676,2))</f>
        <v/>
      </c>
      <c r="H676" s="49">
        <f>IF(A676="","",DATE(YEAR(A676),MONTH(A676),1))</f>
        <v/>
      </c>
    </row>
    <row r="677">
      <c r="A677" s="48" t="n"/>
      <c r="B677" s="44" t="n"/>
      <c r="C677" s="44" t="n"/>
      <c r="D677" s="45" t="n"/>
      <c r="E677" s="44" t="n"/>
      <c r="F677" s="23">
        <f>IF(B677="","",IFERROR(INDEX(Cat_Tipo,MATCH(B677,Lista_Categorias,0)),"Deseo"))</f>
        <v/>
      </c>
      <c r="G677" s="23">
        <f>IF(A677="","",WEEKNUM(A677,2))</f>
        <v/>
      </c>
      <c r="H677" s="49">
        <f>IF(A677="","",DATE(YEAR(A677),MONTH(A677),1))</f>
        <v/>
      </c>
    </row>
    <row r="678">
      <c r="A678" s="48" t="n"/>
      <c r="B678" s="44" t="n"/>
      <c r="C678" s="44" t="n"/>
      <c r="D678" s="45" t="n"/>
      <c r="E678" s="44" t="n"/>
      <c r="F678" s="23">
        <f>IF(B678="","",IFERROR(INDEX(Cat_Tipo,MATCH(B678,Lista_Categorias,0)),"Deseo"))</f>
        <v/>
      </c>
      <c r="G678" s="23">
        <f>IF(A678="","",WEEKNUM(A678,2))</f>
        <v/>
      </c>
      <c r="H678" s="49">
        <f>IF(A678="","",DATE(YEAR(A678),MONTH(A678),1))</f>
        <v/>
      </c>
    </row>
    <row r="679">
      <c r="A679" s="48" t="n"/>
      <c r="B679" s="44" t="n"/>
      <c r="C679" s="44" t="n"/>
      <c r="D679" s="45" t="n"/>
      <c r="E679" s="44" t="n"/>
      <c r="F679" s="23">
        <f>IF(B679="","",IFERROR(INDEX(Cat_Tipo,MATCH(B679,Lista_Categorias,0)),"Deseo"))</f>
        <v/>
      </c>
      <c r="G679" s="23">
        <f>IF(A679="","",WEEKNUM(A679,2))</f>
        <v/>
      </c>
      <c r="H679" s="49">
        <f>IF(A679="","",DATE(YEAR(A679),MONTH(A679),1))</f>
        <v/>
      </c>
    </row>
    <row r="680">
      <c r="A680" s="48" t="n"/>
      <c r="B680" s="44" t="n"/>
      <c r="C680" s="44" t="n"/>
      <c r="D680" s="45" t="n"/>
      <c r="E680" s="44" t="n"/>
      <c r="F680" s="23">
        <f>IF(B680="","",IFERROR(INDEX(Cat_Tipo,MATCH(B680,Lista_Categorias,0)),"Deseo"))</f>
        <v/>
      </c>
      <c r="G680" s="23">
        <f>IF(A680="","",WEEKNUM(A680,2))</f>
        <v/>
      </c>
      <c r="H680" s="49">
        <f>IF(A680="","",DATE(YEAR(A680),MONTH(A680),1))</f>
        <v/>
      </c>
    </row>
    <row r="681">
      <c r="A681" s="48" t="n"/>
      <c r="B681" s="44" t="n"/>
      <c r="C681" s="44" t="n"/>
      <c r="D681" s="45" t="n"/>
      <c r="E681" s="44" t="n"/>
      <c r="F681" s="23">
        <f>IF(B681="","",IFERROR(INDEX(Cat_Tipo,MATCH(B681,Lista_Categorias,0)),"Deseo"))</f>
        <v/>
      </c>
      <c r="G681" s="23">
        <f>IF(A681="","",WEEKNUM(A681,2))</f>
        <v/>
      </c>
      <c r="H681" s="49">
        <f>IF(A681="","",DATE(YEAR(A681),MONTH(A681),1))</f>
        <v/>
      </c>
    </row>
    <row r="682">
      <c r="A682" s="48" t="n"/>
      <c r="B682" s="44" t="n"/>
      <c r="C682" s="44" t="n"/>
      <c r="D682" s="45" t="n"/>
      <c r="E682" s="44" t="n"/>
      <c r="F682" s="23">
        <f>IF(B682="","",IFERROR(INDEX(Cat_Tipo,MATCH(B682,Lista_Categorias,0)),"Deseo"))</f>
        <v/>
      </c>
      <c r="G682" s="23">
        <f>IF(A682="","",WEEKNUM(A682,2))</f>
        <v/>
      </c>
      <c r="H682" s="49">
        <f>IF(A682="","",DATE(YEAR(A682),MONTH(A682),1))</f>
        <v/>
      </c>
    </row>
    <row r="683">
      <c r="A683" s="48" t="n"/>
      <c r="B683" s="44" t="n"/>
      <c r="C683" s="44" t="n"/>
      <c r="D683" s="45" t="n"/>
      <c r="E683" s="44" t="n"/>
      <c r="F683" s="23">
        <f>IF(B683="","",IFERROR(INDEX(Cat_Tipo,MATCH(B683,Lista_Categorias,0)),"Deseo"))</f>
        <v/>
      </c>
      <c r="G683" s="23">
        <f>IF(A683="","",WEEKNUM(A683,2))</f>
        <v/>
      </c>
      <c r="H683" s="49">
        <f>IF(A683="","",DATE(YEAR(A683),MONTH(A683),1))</f>
        <v/>
      </c>
    </row>
    <row r="684">
      <c r="A684" s="48" t="n"/>
      <c r="B684" s="44" t="n"/>
      <c r="C684" s="44" t="n"/>
      <c r="D684" s="45" t="n"/>
      <c r="E684" s="44" t="n"/>
      <c r="F684" s="23">
        <f>IF(B684="","",IFERROR(INDEX(Cat_Tipo,MATCH(B684,Lista_Categorias,0)),"Deseo"))</f>
        <v/>
      </c>
      <c r="G684" s="23">
        <f>IF(A684="","",WEEKNUM(A684,2))</f>
        <v/>
      </c>
      <c r="H684" s="49">
        <f>IF(A684="","",DATE(YEAR(A684),MONTH(A684),1))</f>
        <v/>
      </c>
    </row>
    <row r="685">
      <c r="A685" s="48" t="n"/>
      <c r="B685" s="44" t="n"/>
      <c r="C685" s="44" t="n"/>
      <c r="D685" s="45" t="n"/>
      <c r="E685" s="44" t="n"/>
      <c r="F685" s="23">
        <f>IF(B685="","",IFERROR(INDEX(Cat_Tipo,MATCH(B685,Lista_Categorias,0)),"Deseo"))</f>
        <v/>
      </c>
      <c r="G685" s="23">
        <f>IF(A685="","",WEEKNUM(A685,2))</f>
        <v/>
      </c>
      <c r="H685" s="49">
        <f>IF(A685="","",DATE(YEAR(A685),MONTH(A685),1))</f>
        <v/>
      </c>
    </row>
    <row r="686">
      <c r="A686" s="48" t="n"/>
      <c r="B686" s="44" t="n"/>
      <c r="C686" s="44" t="n"/>
      <c r="D686" s="45" t="n"/>
      <c r="E686" s="44" t="n"/>
      <c r="F686" s="23">
        <f>IF(B686="","",IFERROR(INDEX(Cat_Tipo,MATCH(B686,Lista_Categorias,0)),"Deseo"))</f>
        <v/>
      </c>
      <c r="G686" s="23">
        <f>IF(A686="","",WEEKNUM(A686,2))</f>
        <v/>
      </c>
      <c r="H686" s="49">
        <f>IF(A686="","",DATE(YEAR(A686),MONTH(A686),1))</f>
        <v/>
      </c>
    </row>
    <row r="687">
      <c r="A687" s="48" t="n"/>
      <c r="B687" s="44" t="n"/>
      <c r="C687" s="44" t="n"/>
      <c r="D687" s="45" t="n"/>
      <c r="E687" s="44" t="n"/>
      <c r="F687" s="23">
        <f>IF(B687="","",IFERROR(INDEX(Cat_Tipo,MATCH(B687,Lista_Categorias,0)),"Deseo"))</f>
        <v/>
      </c>
      <c r="G687" s="23">
        <f>IF(A687="","",WEEKNUM(A687,2))</f>
        <v/>
      </c>
      <c r="H687" s="49">
        <f>IF(A687="","",DATE(YEAR(A687),MONTH(A687),1))</f>
        <v/>
      </c>
    </row>
    <row r="688">
      <c r="A688" s="48" t="n"/>
      <c r="B688" s="44" t="n"/>
      <c r="C688" s="44" t="n"/>
      <c r="D688" s="45" t="n"/>
      <c r="E688" s="44" t="n"/>
      <c r="F688" s="23">
        <f>IF(B688="","",IFERROR(INDEX(Cat_Tipo,MATCH(B688,Lista_Categorias,0)),"Deseo"))</f>
        <v/>
      </c>
      <c r="G688" s="23">
        <f>IF(A688="","",WEEKNUM(A688,2))</f>
        <v/>
      </c>
      <c r="H688" s="49">
        <f>IF(A688="","",DATE(YEAR(A688),MONTH(A688),1))</f>
        <v/>
      </c>
    </row>
    <row r="689">
      <c r="A689" s="48" t="n"/>
      <c r="B689" s="44" t="n"/>
      <c r="C689" s="44" t="n"/>
      <c r="D689" s="45" t="n"/>
      <c r="E689" s="44" t="n"/>
      <c r="F689" s="23">
        <f>IF(B689="","",IFERROR(INDEX(Cat_Tipo,MATCH(B689,Lista_Categorias,0)),"Deseo"))</f>
        <v/>
      </c>
      <c r="G689" s="23">
        <f>IF(A689="","",WEEKNUM(A689,2))</f>
        <v/>
      </c>
      <c r="H689" s="49">
        <f>IF(A689="","",DATE(YEAR(A689),MONTH(A689),1))</f>
        <v/>
      </c>
    </row>
    <row r="690">
      <c r="A690" s="48" t="n"/>
      <c r="B690" s="44" t="n"/>
      <c r="C690" s="44" t="n"/>
      <c r="D690" s="45" t="n"/>
      <c r="E690" s="44" t="n"/>
      <c r="F690" s="23">
        <f>IF(B690="","",IFERROR(INDEX(Cat_Tipo,MATCH(B690,Lista_Categorias,0)),"Deseo"))</f>
        <v/>
      </c>
      <c r="G690" s="23">
        <f>IF(A690="","",WEEKNUM(A690,2))</f>
        <v/>
      </c>
      <c r="H690" s="49">
        <f>IF(A690="","",DATE(YEAR(A690),MONTH(A690),1))</f>
        <v/>
      </c>
    </row>
    <row r="691">
      <c r="A691" s="48" t="n"/>
      <c r="B691" s="44" t="n"/>
      <c r="C691" s="44" t="n"/>
      <c r="D691" s="45" t="n"/>
      <c r="E691" s="44" t="n"/>
      <c r="F691" s="23">
        <f>IF(B691="","",IFERROR(INDEX(Cat_Tipo,MATCH(B691,Lista_Categorias,0)),"Deseo"))</f>
        <v/>
      </c>
      <c r="G691" s="23">
        <f>IF(A691="","",WEEKNUM(A691,2))</f>
        <v/>
      </c>
      <c r="H691" s="49">
        <f>IF(A691="","",DATE(YEAR(A691),MONTH(A691),1))</f>
        <v/>
      </c>
    </row>
    <row r="692">
      <c r="A692" s="48" t="n"/>
      <c r="B692" s="44" t="n"/>
      <c r="C692" s="44" t="n"/>
      <c r="D692" s="45" t="n"/>
      <c r="E692" s="44" t="n"/>
      <c r="F692" s="23">
        <f>IF(B692="","",IFERROR(INDEX(Cat_Tipo,MATCH(B692,Lista_Categorias,0)),"Deseo"))</f>
        <v/>
      </c>
      <c r="G692" s="23">
        <f>IF(A692="","",WEEKNUM(A692,2))</f>
        <v/>
      </c>
      <c r="H692" s="49">
        <f>IF(A692="","",DATE(YEAR(A692),MONTH(A692),1))</f>
        <v/>
      </c>
    </row>
    <row r="693">
      <c r="A693" s="48" t="n"/>
      <c r="B693" s="44" t="n"/>
      <c r="C693" s="44" t="n"/>
      <c r="D693" s="45" t="n"/>
      <c r="E693" s="44" t="n"/>
      <c r="F693" s="23">
        <f>IF(B693="","",IFERROR(INDEX(Cat_Tipo,MATCH(B693,Lista_Categorias,0)),"Deseo"))</f>
        <v/>
      </c>
      <c r="G693" s="23">
        <f>IF(A693="","",WEEKNUM(A693,2))</f>
        <v/>
      </c>
      <c r="H693" s="49">
        <f>IF(A693="","",DATE(YEAR(A693),MONTH(A693),1))</f>
        <v/>
      </c>
    </row>
    <row r="694">
      <c r="A694" s="48" t="n"/>
      <c r="B694" s="44" t="n"/>
      <c r="C694" s="44" t="n"/>
      <c r="D694" s="45" t="n"/>
      <c r="E694" s="44" t="n"/>
      <c r="F694" s="23">
        <f>IF(B694="","",IFERROR(INDEX(Cat_Tipo,MATCH(B694,Lista_Categorias,0)),"Deseo"))</f>
        <v/>
      </c>
      <c r="G694" s="23">
        <f>IF(A694="","",WEEKNUM(A694,2))</f>
        <v/>
      </c>
      <c r="H694" s="49">
        <f>IF(A694="","",DATE(YEAR(A694),MONTH(A694),1))</f>
        <v/>
      </c>
    </row>
    <row r="695">
      <c r="A695" s="48" t="n"/>
      <c r="B695" s="44" t="n"/>
      <c r="C695" s="44" t="n"/>
      <c r="D695" s="45" t="n"/>
      <c r="E695" s="44" t="n"/>
      <c r="F695" s="23">
        <f>IF(B695="","",IFERROR(INDEX(Cat_Tipo,MATCH(B695,Lista_Categorias,0)),"Deseo"))</f>
        <v/>
      </c>
      <c r="G695" s="23">
        <f>IF(A695="","",WEEKNUM(A695,2))</f>
        <v/>
      </c>
      <c r="H695" s="49">
        <f>IF(A695="","",DATE(YEAR(A695),MONTH(A695),1))</f>
        <v/>
      </c>
    </row>
    <row r="696">
      <c r="A696" s="48" t="n"/>
      <c r="B696" s="44" t="n"/>
      <c r="C696" s="44" t="n"/>
      <c r="D696" s="45" t="n"/>
      <c r="E696" s="44" t="n"/>
      <c r="F696" s="23">
        <f>IF(B696="","",IFERROR(INDEX(Cat_Tipo,MATCH(B696,Lista_Categorias,0)),"Deseo"))</f>
        <v/>
      </c>
      <c r="G696" s="23">
        <f>IF(A696="","",WEEKNUM(A696,2))</f>
        <v/>
      </c>
      <c r="H696" s="49">
        <f>IF(A696="","",DATE(YEAR(A696),MONTH(A696),1))</f>
        <v/>
      </c>
    </row>
    <row r="697">
      <c r="A697" s="48" t="n"/>
      <c r="B697" s="44" t="n"/>
      <c r="C697" s="44" t="n"/>
      <c r="D697" s="45" t="n"/>
      <c r="E697" s="44" t="n"/>
      <c r="F697" s="23">
        <f>IF(B697="","",IFERROR(INDEX(Cat_Tipo,MATCH(B697,Lista_Categorias,0)),"Deseo"))</f>
        <v/>
      </c>
      <c r="G697" s="23">
        <f>IF(A697="","",WEEKNUM(A697,2))</f>
        <v/>
      </c>
      <c r="H697" s="49">
        <f>IF(A697="","",DATE(YEAR(A697),MONTH(A697),1))</f>
        <v/>
      </c>
    </row>
    <row r="698">
      <c r="A698" s="48" t="n"/>
      <c r="B698" s="44" t="n"/>
      <c r="C698" s="44" t="n"/>
      <c r="D698" s="45" t="n"/>
      <c r="E698" s="44" t="n"/>
      <c r="F698" s="23">
        <f>IF(B698="","",IFERROR(INDEX(Cat_Tipo,MATCH(B698,Lista_Categorias,0)),"Deseo"))</f>
        <v/>
      </c>
      <c r="G698" s="23">
        <f>IF(A698="","",WEEKNUM(A698,2))</f>
        <v/>
      </c>
      <c r="H698" s="49">
        <f>IF(A698="","",DATE(YEAR(A698),MONTH(A698),1))</f>
        <v/>
      </c>
    </row>
    <row r="699">
      <c r="A699" s="48" t="n"/>
      <c r="B699" s="44" t="n"/>
      <c r="C699" s="44" t="n"/>
      <c r="D699" s="45" t="n"/>
      <c r="E699" s="44" t="n"/>
      <c r="F699" s="23">
        <f>IF(B699="","",IFERROR(INDEX(Cat_Tipo,MATCH(B699,Lista_Categorias,0)),"Deseo"))</f>
        <v/>
      </c>
      <c r="G699" s="23">
        <f>IF(A699="","",WEEKNUM(A699,2))</f>
        <v/>
      </c>
      <c r="H699" s="49">
        <f>IF(A699="","",DATE(YEAR(A699),MONTH(A699),1))</f>
        <v/>
      </c>
    </row>
    <row r="700">
      <c r="A700" s="48" t="n"/>
      <c r="B700" s="44" t="n"/>
      <c r="C700" s="44" t="n"/>
      <c r="D700" s="45" t="n"/>
      <c r="E700" s="44" t="n"/>
      <c r="F700" s="23">
        <f>IF(B700="","",IFERROR(INDEX(Cat_Tipo,MATCH(B700,Lista_Categorias,0)),"Deseo"))</f>
        <v/>
      </c>
      <c r="G700" s="23">
        <f>IF(A700="","",WEEKNUM(A700,2))</f>
        <v/>
      </c>
      <c r="H700" s="49">
        <f>IF(A700="","",DATE(YEAR(A700),MONTH(A700),1))</f>
        <v/>
      </c>
    </row>
    <row r="701">
      <c r="A701" s="48" t="n"/>
      <c r="B701" s="44" t="n"/>
      <c r="C701" s="44" t="n"/>
      <c r="D701" s="45" t="n"/>
      <c r="E701" s="44" t="n"/>
      <c r="F701" s="23">
        <f>IF(B701="","",IFERROR(INDEX(Cat_Tipo,MATCH(B701,Lista_Categorias,0)),"Deseo"))</f>
        <v/>
      </c>
      <c r="G701" s="23">
        <f>IF(A701="","",WEEKNUM(A701,2))</f>
        <v/>
      </c>
      <c r="H701" s="49">
        <f>IF(A701="","",DATE(YEAR(A701),MONTH(A701),1))</f>
        <v/>
      </c>
    </row>
    <row r="702">
      <c r="A702" s="48" t="n"/>
      <c r="B702" s="44" t="n"/>
      <c r="C702" s="44" t="n"/>
      <c r="D702" s="45" t="n"/>
      <c r="E702" s="44" t="n"/>
      <c r="F702" s="23">
        <f>IF(B702="","",IFERROR(INDEX(Cat_Tipo,MATCH(B702,Lista_Categorias,0)),"Deseo"))</f>
        <v/>
      </c>
      <c r="G702" s="23">
        <f>IF(A702="","",WEEKNUM(A702,2))</f>
        <v/>
      </c>
      <c r="H702" s="49">
        <f>IF(A702="","",DATE(YEAR(A702),MONTH(A702),1))</f>
        <v/>
      </c>
    </row>
    <row r="703">
      <c r="A703" s="48" t="n"/>
      <c r="B703" s="44" t="n"/>
      <c r="C703" s="44" t="n"/>
      <c r="D703" s="45" t="n"/>
      <c r="E703" s="44" t="n"/>
      <c r="F703" s="23">
        <f>IF(B703="","",IFERROR(INDEX(Cat_Tipo,MATCH(B703,Lista_Categorias,0)),"Deseo"))</f>
        <v/>
      </c>
      <c r="G703" s="23">
        <f>IF(A703="","",WEEKNUM(A703,2))</f>
        <v/>
      </c>
      <c r="H703" s="49">
        <f>IF(A703="","",DATE(YEAR(A703),MONTH(A703),1))</f>
        <v/>
      </c>
    </row>
    <row r="704">
      <c r="A704" s="48" t="n"/>
      <c r="B704" s="44" t="n"/>
      <c r="C704" s="44" t="n"/>
      <c r="D704" s="45" t="n"/>
      <c r="E704" s="44" t="n"/>
      <c r="F704" s="23">
        <f>IF(B704="","",IFERROR(INDEX(Cat_Tipo,MATCH(B704,Lista_Categorias,0)),"Deseo"))</f>
        <v/>
      </c>
      <c r="G704" s="23">
        <f>IF(A704="","",WEEKNUM(A704,2))</f>
        <v/>
      </c>
      <c r="H704" s="49">
        <f>IF(A704="","",DATE(YEAR(A704),MONTH(A704),1))</f>
        <v/>
      </c>
    </row>
    <row r="705">
      <c r="A705" s="48" t="n"/>
      <c r="B705" s="44" t="n"/>
      <c r="C705" s="44" t="n"/>
      <c r="D705" s="45" t="n"/>
      <c r="E705" s="44" t="n"/>
      <c r="F705" s="23">
        <f>IF(B705="","",IFERROR(INDEX(Cat_Tipo,MATCH(B705,Lista_Categorias,0)),"Deseo"))</f>
        <v/>
      </c>
      <c r="G705" s="23">
        <f>IF(A705="","",WEEKNUM(A705,2))</f>
        <v/>
      </c>
      <c r="H705" s="49">
        <f>IF(A705="","",DATE(YEAR(A705),MONTH(A705),1))</f>
        <v/>
      </c>
    </row>
    <row r="706">
      <c r="A706" s="48" t="n"/>
      <c r="B706" s="44" t="n"/>
      <c r="C706" s="44" t="n"/>
      <c r="D706" s="45" t="n"/>
      <c r="E706" s="44" t="n"/>
      <c r="F706" s="23">
        <f>IF(B706="","",IFERROR(INDEX(Cat_Tipo,MATCH(B706,Lista_Categorias,0)),"Deseo"))</f>
        <v/>
      </c>
      <c r="G706" s="23">
        <f>IF(A706="","",WEEKNUM(A706,2))</f>
        <v/>
      </c>
      <c r="H706" s="49">
        <f>IF(A706="","",DATE(YEAR(A706),MONTH(A706),1))</f>
        <v/>
      </c>
    </row>
    <row r="707">
      <c r="A707" s="48" t="n"/>
      <c r="B707" s="44" t="n"/>
      <c r="C707" s="44" t="n"/>
      <c r="D707" s="45" t="n"/>
      <c r="E707" s="44" t="n"/>
      <c r="F707" s="23">
        <f>IF(B707="","",IFERROR(INDEX(Cat_Tipo,MATCH(B707,Lista_Categorias,0)),"Deseo"))</f>
        <v/>
      </c>
      <c r="G707" s="23">
        <f>IF(A707="","",WEEKNUM(A707,2))</f>
        <v/>
      </c>
      <c r="H707" s="49">
        <f>IF(A707="","",DATE(YEAR(A707),MONTH(A707),1))</f>
        <v/>
      </c>
    </row>
    <row r="708">
      <c r="A708" s="48" t="n"/>
      <c r="B708" s="44" t="n"/>
      <c r="C708" s="44" t="n"/>
      <c r="D708" s="45" t="n"/>
      <c r="E708" s="44" t="n"/>
      <c r="F708" s="23">
        <f>IF(B708="","",IFERROR(INDEX(Cat_Tipo,MATCH(B708,Lista_Categorias,0)),"Deseo"))</f>
        <v/>
      </c>
      <c r="G708" s="23">
        <f>IF(A708="","",WEEKNUM(A708,2))</f>
        <v/>
      </c>
      <c r="H708" s="49">
        <f>IF(A708="","",DATE(YEAR(A708),MONTH(A708),1))</f>
        <v/>
      </c>
    </row>
    <row r="709">
      <c r="A709" s="48" t="n"/>
      <c r="B709" s="44" t="n"/>
      <c r="C709" s="44" t="n"/>
      <c r="D709" s="45" t="n"/>
      <c r="E709" s="44" t="n"/>
      <c r="F709" s="23">
        <f>IF(B709="","",IFERROR(INDEX(Cat_Tipo,MATCH(B709,Lista_Categorias,0)),"Deseo"))</f>
        <v/>
      </c>
      <c r="G709" s="23">
        <f>IF(A709="","",WEEKNUM(A709,2))</f>
        <v/>
      </c>
      <c r="H709" s="49">
        <f>IF(A709="","",DATE(YEAR(A709),MONTH(A709),1))</f>
        <v/>
      </c>
    </row>
    <row r="710">
      <c r="A710" s="48" t="n"/>
      <c r="B710" s="44" t="n"/>
      <c r="C710" s="44" t="n"/>
      <c r="D710" s="45" t="n"/>
      <c r="E710" s="44" t="n"/>
      <c r="F710" s="23">
        <f>IF(B710="","",IFERROR(INDEX(Cat_Tipo,MATCH(B710,Lista_Categorias,0)),"Deseo"))</f>
        <v/>
      </c>
      <c r="G710" s="23">
        <f>IF(A710="","",WEEKNUM(A710,2))</f>
        <v/>
      </c>
      <c r="H710" s="49">
        <f>IF(A710="","",DATE(YEAR(A710),MONTH(A710),1))</f>
        <v/>
      </c>
    </row>
    <row r="711">
      <c r="A711" s="48" t="n"/>
      <c r="B711" s="44" t="n"/>
      <c r="C711" s="44" t="n"/>
      <c r="D711" s="45" t="n"/>
      <c r="E711" s="44" t="n"/>
      <c r="F711" s="23">
        <f>IF(B711="","",IFERROR(INDEX(Cat_Tipo,MATCH(B711,Lista_Categorias,0)),"Deseo"))</f>
        <v/>
      </c>
      <c r="G711" s="23">
        <f>IF(A711="","",WEEKNUM(A711,2))</f>
        <v/>
      </c>
      <c r="H711" s="49">
        <f>IF(A711="","",DATE(YEAR(A711),MONTH(A711),1))</f>
        <v/>
      </c>
    </row>
    <row r="712">
      <c r="A712" s="48" t="n"/>
      <c r="B712" s="44" t="n"/>
      <c r="C712" s="44" t="n"/>
      <c r="D712" s="45" t="n"/>
      <c r="E712" s="44" t="n"/>
      <c r="F712" s="23">
        <f>IF(B712="","",IFERROR(INDEX(Cat_Tipo,MATCH(B712,Lista_Categorias,0)),"Deseo"))</f>
        <v/>
      </c>
      <c r="G712" s="23">
        <f>IF(A712="","",WEEKNUM(A712,2))</f>
        <v/>
      </c>
      <c r="H712" s="49">
        <f>IF(A712="","",DATE(YEAR(A712),MONTH(A712),1))</f>
        <v/>
      </c>
    </row>
    <row r="713">
      <c r="A713" s="48" t="n"/>
      <c r="B713" s="44" t="n"/>
      <c r="C713" s="44" t="n"/>
      <c r="D713" s="45" t="n"/>
      <c r="E713" s="44" t="n"/>
      <c r="F713" s="23">
        <f>IF(B713="","",IFERROR(INDEX(Cat_Tipo,MATCH(B713,Lista_Categorias,0)),"Deseo"))</f>
        <v/>
      </c>
      <c r="G713" s="23">
        <f>IF(A713="","",WEEKNUM(A713,2))</f>
        <v/>
      </c>
      <c r="H713" s="49">
        <f>IF(A713="","",DATE(YEAR(A713),MONTH(A713),1))</f>
        <v/>
      </c>
    </row>
    <row r="714">
      <c r="A714" s="48" t="n"/>
      <c r="B714" s="44" t="n"/>
      <c r="C714" s="44" t="n"/>
      <c r="D714" s="45" t="n"/>
      <c r="E714" s="44" t="n"/>
      <c r="F714" s="23">
        <f>IF(B714="","",IFERROR(INDEX(Cat_Tipo,MATCH(B714,Lista_Categorias,0)),"Deseo"))</f>
        <v/>
      </c>
      <c r="G714" s="23">
        <f>IF(A714="","",WEEKNUM(A714,2))</f>
        <v/>
      </c>
      <c r="H714" s="49">
        <f>IF(A714="","",DATE(YEAR(A714),MONTH(A714),1))</f>
        <v/>
      </c>
    </row>
    <row r="715">
      <c r="A715" s="48" t="n"/>
      <c r="B715" s="44" t="n"/>
      <c r="C715" s="44" t="n"/>
      <c r="D715" s="45" t="n"/>
      <c r="E715" s="44" t="n"/>
      <c r="F715" s="23">
        <f>IF(B715="","",IFERROR(INDEX(Cat_Tipo,MATCH(B715,Lista_Categorias,0)),"Deseo"))</f>
        <v/>
      </c>
      <c r="G715" s="23">
        <f>IF(A715="","",WEEKNUM(A715,2))</f>
        <v/>
      </c>
      <c r="H715" s="49">
        <f>IF(A715="","",DATE(YEAR(A715),MONTH(A715),1))</f>
        <v/>
      </c>
    </row>
    <row r="716">
      <c r="A716" s="48" t="n"/>
      <c r="B716" s="44" t="n"/>
      <c r="C716" s="44" t="n"/>
      <c r="D716" s="45" t="n"/>
      <c r="E716" s="44" t="n"/>
      <c r="F716" s="23">
        <f>IF(B716="","",IFERROR(INDEX(Cat_Tipo,MATCH(B716,Lista_Categorias,0)),"Deseo"))</f>
        <v/>
      </c>
      <c r="G716" s="23">
        <f>IF(A716="","",WEEKNUM(A716,2))</f>
        <v/>
      </c>
      <c r="H716" s="49">
        <f>IF(A716="","",DATE(YEAR(A716),MONTH(A716),1))</f>
        <v/>
      </c>
    </row>
    <row r="717">
      <c r="A717" s="48" t="n"/>
      <c r="B717" s="44" t="n"/>
      <c r="C717" s="44" t="n"/>
      <c r="D717" s="45" t="n"/>
      <c r="E717" s="44" t="n"/>
      <c r="F717" s="23">
        <f>IF(B717="","",IFERROR(INDEX(Cat_Tipo,MATCH(B717,Lista_Categorias,0)),"Deseo"))</f>
        <v/>
      </c>
      <c r="G717" s="23">
        <f>IF(A717="","",WEEKNUM(A717,2))</f>
        <v/>
      </c>
      <c r="H717" s="49">
        <f>IF(A717="","",DATE(YEAR(A717),MONTH(A717),1))</f>
        <v/>
      </c>
    </row>
    <row r="718">
      <c r="A718" s="48" t="n"/>
      <c r="B718" s="44" t="n"/>
      <c r="C718" s="44" t="n"/>
      <c r="D718" s="45" t="n"/>
      <c r="E718" s="44" t="n"/>
      <c r="F718" s="23">
        <f>IF(B718="","",IFERROR(INDEX(Cat_Tipo,MATCH(B718,Lista_Categorias,0)),"Deseo"))</f>
        <v/>
      </c>
      <c r="G718" s="23">
        <f>IF(A718="","",WEEKNUM(A718,2))</f>
        <v/>
      </c>
      <c r="H718" s="49">
        <f>IF(A718="","",DATE(YEAR(A718),MONTH(A718),1))</f>
        <v/>
      </c>
    </row>
    <row r="719">
      <c r="A719" s="48" t="n"/>
      <c r="B719" s="44" t="n"/>
      <c r="C719" s="44" t="n"/>
      <c r="D719" s="45" t="n"/>
      <c r="E719" s="44" t="n"/>
      <c r="F719" s="23">
        <f>IF(B719="","",IFERROR(INDEX(Cat_Tipo,MATCH(B719,Lista_Categorias,0)),"Deseo"))</f>
        <v/>
      </c>
      <c r="G719" s="23">
        <f>IF(A719="","",WEEKNUM(A719,2))</f>
        <v/>
      </c>
      <c r="H719" s="49">
        <f>IF(A719="","",DATE(YEAR(A719),MONTH(A719),1))</f>
        <v/>
      </c>
    </row>
    <row r="720">
      <c r="A720" s="48" t="n"/>
      <c r="B720" s="44" t="n"/>
      <c r="C720" s="44" t="n"/>
      <c r="D720" s="45" t="n"/>
      <c r="E720" s="44" t="n"/>
      <c r="F720" s="23">
        <f>IF(B720="","",IFERROR(INDEX(Cat_Tipo,MATCH(B720,Lista_Categorias,0)),"Deseo"))</f>
        <v/>
      </c>
      <c r="G720" s="23">
        <f>IF(A720="","",WEEKNUM(A720,2))</f>
        <v/>
      </c>
      <c r="H720" s="49">
        <f>IF(A720="","",DATE(YEAR(A720),MONTH(A720),1))</f>
        <v/>
      </c>
    </row>
    <row r="721">
      <c r="A721" s="48" t="n"/>
      <c r="B721" s="44" t="n"/>
      <c r="C721" s="44" t="n"/>
      <c r="D721" s="45" t="n"/>
      <c r="E721" s="44" t="n"/>
      <c r="F721" s="23">
        <f>IF(B721="","",IFERROR(INDEX(Cat_Tipo,MATCH(B721,Lista_Categorias,0)),"Deseo"))</f>
        <v/>
      </c>
      <c r="G721" s="23">
        <f>IF(A721="","",WEEKNUM(A721,2))</f>
        <v/>
      </c>
      <c r="H721" s="49">
        <f>IF(A721="","",DATE(YEAR(A721),MONTH(A721),1))</f>
        <v/>
      </c>
    </row>
    <row r="722">
      <c r="A722" s="48" t="n"/>
      <c r="B722" s="44" t="n"/>
      <c r="C722" s="44" t="n"/>
      <c r="D722" s="45" t="n"/>
      <c r="E722" s="44" t="n"/>
      <c r="F722" s="23">
        <f>IF(B722="","",IFERROR(INDEX(Cat_Tipo,MATCH(B722,Lista_Categorias,0)),"Deseo"))</f>
        <v/>
      </c>
      <c r="G722" s="23">
        <f>IF(A722="","",WEEKNUM(A722,2))</f>
        <v/>
      </c>
      <c r="H722" s="49">
        <f>IF(A722="","",DATE(YEAR(A722),MONTH(A722),1))</f>
        <v/>
      </c>
    </row>
    <row r="723">
      <c r="A723" s="48" t="n"/>
      <c r="B723" s="44" t="n"/>
      <c r="C723" s="44" t="n"/>
      <c r="D723" s="45" t="n"/>
      <c r="E723" s="44" t="n"/>
      <c r="F723" s="23">
        <f>IF(B723="","",IFERROR(INDEX(Cat_Tipo,MATCH(B723,Lista_Categorias,0)),"Deseo"))</f>
        <v/>
      </c>
      <c r="G723" s="23">
        <f>IF(A723="","",WEEKNUM(A723,2))</f>
        <v/>
      </c>
      <c r="H723" s="49">
        <f>IF(A723="","",DATE(YEAR(A723),MONTH(A723),1))</f>
        <v/>
      </c>
    </row>
    <row r="724">
      <c r="A724" s="48" t="n"/>
      <c r="B724" s="44" t="n"/>
      <c r="C724" s="44" t="n"/>
      <c r="D724" s="45" t="n"/>
      <c r="E724" s="44" t="n"/>
      <c r="F724" s="23">
        <f>IF(B724="","",IFERROR(INDEX(Cat_Tipo,MATCH(B724,Lista_Categorias,0)),"Deseo"))</f>
        <v/>
      </c>
      <c r="G724" s="23">
        <f>IF(A724="","",WEEKNUM(A724,2))</f>
        <v/>
      </c>
      <c r="H724" s="49">
        <f>IF(A724="","",DATE(YEAR(A724),MONTH(A724),1))</f>
        <v/>
      </c>
    </row>
    <row r="725">
      <c r="A725" s="48" t="n"/>
      <c r="B725" s="44" t="n"/>
      <c r="C725" s="44" t="n"/>
      <c r="D725" s="45" t="n"/>
      <c r="E725" s="44" t="n"/>
      <c r="F725" s="23">
        <f>IF(B725="","",IFERROR(INDEX(Cat_Tipo,MATCH(B725,Lista_Categorias,0)),"Deseo"))</f>
        <v/>
      </c>
      <c r="G725" s="23">
        <f>IF(A725="","",WEEKNUM(A725,2))</f>
        <v/>
      </c>
      <c r="H725" s="49">
        <f>IF(A725="","",DATE(YEAR(A725),MONTH(A725),1))</f>
        <v/>
      </c>
    </row>
    <row r="726">
      <c r="A726" s="48" t="n"/>
      <c r="B726" s="44" t="n"/>
      <c r="C726" s="44" t="n"/>
      <c r="D726" s="45" t="n"/>
      <c r="E726" s="44" t="n"/>
      <c r="F726" s="23">
        <f>IF(B726="","",IFERROR(INDEX(Cat_Tipo,MATCH(B726,Lista_Categorias,0)),"Deseo"))</f>
        <v/>
      </c>
      <c r="G726" s="23">
        <f>IF(A726="","",WEEKNUM(A726,2))</f>
        <v/>
      </c>
      <c r="H726" s="49">
        <f>IF(A726="","",DATE(YEAR(A726),MONTH(A726),1))</f>
        <v/>
      </c>
    </row>
    <row r="727">
      <c r="A727" s="48" t="n"/>
      <c r="B727" s="44" t="n"/>
      <c r="C727" s="44" t="n"/>
      <c r="D727" s="45" t="n"/>
      <c r="E727" s="44" t="n"/>
      <c r="F727" s="23">
        <f>IF(B727="","",IFERROR(INDEX(Cat_Tipo,MATCH(B727,Lista_Categorias,0)),"Deseo"))</f>
        <v/>
      </c>
      <c r="G727" s="23">
        <f>IF(A727="","",WEEKNUM(A727,2))</f>
        <v/>
      </c>
      <c r="H727" s="49">
        <f>IF(A727="","",DATE(YEAR(A727),MONTH(A727),1))</f>
        <v/>
      </c>
    </row>
    <row r="728">
      <c r="A728" s="48" t="n"/>
      <c r="B728" s="44" t="n"/>
      <c r="C728" s="44" t="n"/>
      <c r="D728" s="45" t="n"/>
      <c r="E728" s="44" t="n"/>
      <c r="F728" s="23">
        <f>IF(B728="","",IFERROR(INDEX(Cat_Tipo,MATCH(B728,Lista_Categorias,0)),"Deseo"))</f>
        <v/>
      </c>
      <c r="G728" s="23">
        <f>IF(A728="","",WEEKNUM(A728,2))</f>
        <v/>
      </c>
      <c r="H728" s="49">
        <f>IF(A728="","",DATE(YEAR(A728),MONTH(A728),1))</f>
        <v/>
      </c>
    </row>
    <row r="729">
      <c r="A729" s="48" t="n"/>
      <c r="B729" s="44" t="n"/>
      <c r="C729" s="44" t="n"/>
      <c r="D729" s="45" t="n"/>
      <c r="E729" s="44" t="n"/>
      <c r="F729" s="23">
        <f>IF(B729="","",IFERROR(INDEX(Cat_Tipo,MATCH(B729,Lista_Categorias,0)),"Deseo"))</f>
        <v/>
      </c>
      <c r="G729" s="23">
        <f>IF(A729="","",WEEKNUM(A729,2))</f>
        <v/>
      </c>
      <c r="H729" s="49">
        <f>IF(A729="","",DATE(YEAR(A729),MONTH(A729),1))</f>
        <v/>
      </c>
    </row>
    <row r="730">
      <c r="A730" s="48" t="n"/>
      <c r="B730" s="44" t="n"/>
      <c r="C730" s="44" t="n"/>
      <c r="D730" s="45" t="n"/>
      <c r="E730" s="44" t="n"/>
      <c r="F730" s="23">
        <f>IF(B730="","",IFERROR(INDEX(Cat_Tipo,MATCH(B730,Lista_Categorias,0)),"Deseo"))</f>
        <v/>
      </c>
      <c r="G730" s="23">
        <f>IF(A730="","",WEEKNUM(A730,2))</f>
        <v/>
      </c>
      <c r="H730" s="49">
        <f>IF(A730="","",DATE(YEAR(A730),MONTH(A730),1))</f>
        <v/>
      </c>
    </row>
    <row r="731">
      <c r="A731" s="48" t="n"/>
      <c r="B731" s="44" t="n"/>
      <c r="C731" s="44" t="n"/>
      <c r="D731" s="45" t="n"/>
      <c r="E731" s="44" t="n"/>
      <c r="F731" s="23">
        <f>IF(B731="","",IFERROR(INDEX(Cat_Tipo,MATCH(B731,Lista_Categorias,0)),"Deseo"))</f>
        <v/>
      </c>
      <c r="G731" s="23">
        <f>IF(A731="","",WEEKNUM(A731,2))</f>
        <v/>
      </c>
      <c r="H731" s="49">
        <f>IF(A731="","",DATE(YEAR(A731),MONTH(A731),1))</f>
        <v/>
      </c>
    </row>
    <row r="732">
      <c r="A732" s="48" t="n"/>
      <c r="B732" s="44" t="n"/>
      <c r="C732" s="44" t="n"/>
      <c r="D732" s="45" t="n"/>
      <c r="E732" s="44" t="n"/>
      <c r="F732" s="23">
        <f>IF(B732="","",IFERROR(INDEX(Cat_Tipo,MATCH(B732,Lista_Categorias,0)),"Deseo"))</f>
        <v/>
      </c>
      <c r="G732" s="23">
        <f>IF(A732="","",WEEKNUM(A732,2))</f>
        <v/>
      </c>
      <c r="H732" s="49">
        <f>IF(A732="","",DATE(YEAR(A732),MONTH(A732),1))</f>
        <v/>
      </c>
    </row>
    <row r="733">
      <c r="A733" s="48" t="n"/>
      <c r="B733" s="44" t="n"/>
      <c r="C733" s="44" t="n"/>
      <c r="D733" s="45" t="n"/>
      <c r="E733" s="44" t="n"/>
      <c r="F733" s="23">
        <f>IF(B733="","",IFERROR(INDEX(Cat_Tipo,MATCH(B733,Lista_Categorias,0)),"Deseo"))</f>
        <v/>
      </c>
      <c r="G733" s="23">
        <f>IF(A733="","",WEEKNUM(A733,2))</f>
        <v/>
      </c>
      <c r="H733" s="49">
        <f>IF(A733="","",DATE(YEAR(A733),MONTH(A733),1))</f>
        <v/>
      </c>
    </row>
    <row r="734">
      <c r="A734" s="48" t="n"/>
      <c r="B734" s="44" t="n"/>
      <c r="C734" s="44" t="n"/>
      <c r="D734" s="45" t="n"/>
      <c r="E734" s="44" t="n"/>
      <c r="F734" s="23">
        <f>IF(B734="","",IFERROR(INDEX(Cat_Tipo,MATCH(B734,Lista_Categorias,0)),"Deseo"))</f>
        <v/>
      </c>
      <c r="G734" s="23">
        <f>IF(A734="","",WEEKNUM(A734,2))</f>
        <v/>
      </c>
      <c r="H734" s="49">
        <f>IF(A734="","",DATE(YEAR(A734),MONTH(A734),1))</f>
        <v/>
      </c>
    </row>
    <row r="735">
      <c r="A735" s="48" t="n"/>
      <c r="B735" s="44" t="n"/>
      <c r="C735" s="44" t="n"/>
      <c r="D735" s="45" t="n"/>
      <c r="E735" s="44" t="n"/>
      <c r="F735" s="23">
        <f>IF(B735="","",IFERROR(INDEX(Cat_Tipo,MATCH(B735,Lista_Categorias,0)),"Deseo"))</f>
        <v/>
      </c>
      <c r="G735" s="23">
        <f>IF(A735="","",WEEKNUM(A735,2))</f>
        <v/>
      </c>
      <c r="H735" s="49">
        <f>IF(A735="","",DATE(YEAR(A735),MONTH(A735),1))</f>
        <v/>
      </c>
    </row>
    <row r="736">
      <c r="A736" s="48" t="n"/>
      <c r="B736" s="44" t="n"/>
      <c r="C736" s="44" t="n"/>
      <c r="D736" s="45" t="n"/>
      <c r="E736" s="44" t="n"/>
      <c r="F736" s="23">
        <f>IF(B736="","",IFERROR(INDEX(Cat_Tipo,MATCH(B736,Lista_Categorias,0)),"Deseo"))</f>
        <v/>
      </c>
      <c r="G736" s="23">
        <f>IF(A736="","",WEEKNUM(A736,2))</f>
        <v/>
      </c>
      <c r="H736" s="49">
        <f>IF(A736="","",DATE(YEAR(A736),MONTH(A736),1))</f>
        <v/>
      </c>
    </row>
    <row r="737">
      <c r="A737" s="48" t="n"/>
      <c r="B737" s="44" t="n"/>
      <c r="C737" s="44" t="n"/>
      <c r="D737" s="45" t="n"/>
      <c r="E737" s="44" t="n"/>
      <c r="F737" s="23">
        <f>IF(B737="","",IFERROR(INDEX(Cat_Tipo,MATCH(B737,Lista_Categorias,0)),"Deseo"))</f>
        <v/>
      </c>
      <c r="G737" s="23">
        <f>IF(A737="","",WEEKNUM(A737,2))</f>
        <v/>
      </c>
      <c r="H737" s="49">
        <f>IF(A737="","",DATE(YEAR(A737),MONTH(A737),1))</f>
        <v/>
      </c>
    </row>
    <row r="738">
      <c r="A738" s="48" t="n"/>
      <c r="B738" s="44" t="n"/>
      <c r="C738" s="44" t="n"/>
      <c r="D738" s="45" t="n"/>
      <c r="E738" s="44" t="n"/>
      <c r="F738" s="23">
        <f>IF(B738="","",IFERROR(INDEX(Cat_Tipo,MATCH(B738,Lista_Categorias,0)),"Deseo"))</f>
        <v/>
      </c>
      <c r="G738" s="23">
        <f>IF(A738="","",WEEKNUM(A738,2))</f>
        <v/>
      </c>
      <c r="H738" s="49">
        <f>IF(A738="","",DATE(YEAR(A738),MONTH(A738),1))</f>
        <v/>
      </c>
    </row>
    <row r="739">
      <c r="A739" s="48" t="n"/>
      <c r="B739" s="44" t="n"/>
      <c r="C739" s="44" t="n"/>
      <c r="D739" s="45" t="n"/>
      <c r="E739" s="44" t="n"/>
      <c r="F739" s="23">
        <f>IF(B739="","",IFERROR(INDEX(Cat_Tipo,MATCH(B739,Lista_Categorias,0)),"Deseo"))</f>
        <v/>
      </c>
      <c r="G739" s="23">
        <f>IF(A739="","",WEEKNUM(A739,2))</f>
        <v/>
      </c>
      <c r="H739" s="49">
        <f>IF(A739="","",DATE(YEAR(A739),MONTH(A739),1))</f>
        <v/>
      </c>
    </row>
    <row r="740">
      <c r="A740" s="48" t="n"/>
      <c r="B740" s="44" t="n"/>
      <c r="C740" s="44" t="n"/>
      <c r="D740" s="45" t="n"/>
      <c r="E740" s="44" t="n"/>
      <c r="F740" s="23">
        <f>IF(B740="","",IFERROR(INDEX(Cat_Tipo,MATCH(B740,Lista_Categorias,0)),"Deseo"))</f>
        <v/>
      </c>
      <c r="G740" s="23">
        <f>IF(A740="","",WEEKNUM(A740,2))</f>
        <v/>
      </c>
      <c r="H740" s="49">
        <f>IF(A740="","",DATE(YEAR(A740),MONTH(A740),1))</f>
        <v/>
      </c>
    </row>
    <row r="741">
      <c r="A741" s="48" t="n"/>
      <c r="B741" s="44" t="n"/>
      <c r="C741" s="44" t="n"/>
      <c r="D741" s="45" t="n"/>
      <c r="E741" s="44" t="n"/>
      <c r="F741" s="23">
        <f>IF(B741="","",IFERROR(INDEX(Cat_Tipo,MATCH(B741,Lista_Categorias,0)),"Deseo"))</f>
        <v/>
      </c>
      <c r="G741" s="23">
        <f>IF(A741="","",WEEKNUM(A741,2))</f>
        <v/>
      </c>
      <c r="H741" s="49">
        <f>IF(A741="","",DATE(YEAR(A741),MONTH(A741),1))</f>
        <v/>
      </c>
    </row>
    <row r="742">
      <c r="A742" s="48" t="n"/>
      <c r="B742" s="44" t="n"/>
      <c r="C742" s="44" t="n"/>
      <c r="D742" s="45" t="n"/>
      <c r="E742" s="44" t="n"/>
      <c r="F742" s="23">
        <f>IF(B742="","",IFERROR(INDEX(Cat_Tipo,MATCH(B742,Lista_Categorias,0)),"Deseo"))</f>
        <v/>
      </c>
      <c r="G742" s="23">
        <f>IF(A742="","",WEEKNUM(A742,2))</f>
        <v/>
      </c>
      <c r="H742" s="49">
        <f>IF(A742="","",DATE(YEAR(A742),MONTH(A742),1))</f>
        <v/>
      </c>
    </row>
    <row r="743">
      <c r="A743" s="48" t="n"/>
      <c r="B743" s="44" t="n"/>
      <c r="C743" s="44" t="n"/>
      <c r="D743" s="45" t="n"/>
      <c r="E743" s="44" t="n"/>
      <c r="F743" s="23">
        <f>IF(B743="","",IFERROR(INDEX(Cat_Tipo,MATCH(B743,Lista_Categorias,0)),"Deseo"))</f>
        <v/>
      </c>
      <c r="G743" s="23">
        <f>IF(A743="","",WEEKNUM(A743,2))</f>
        <v/>
      </c>
      <c r="H743" s="49">
        <f>IF(A743="","",DATE(YEAR(A743),MONTH(A743),1))</f>
        <v/>
      </c>
    </row>
    <row r="744">
      <c r="A744" s="48" t="n"/>
      <c r="B744" s="44" t="n"/>
      <c r="C744" s="44" t="n"/>
      <c r="D744" s="45" t="n"/>
      <c r="E744" s="44" t="n"/>
      <c r="F744" s="23">
        <f>IF(B744="","",IFERROR(INDEX(Cat_Tipo,MATCH(B744,Lista_Categorias,0)),"Deseo"))</f>
        <v/>
      </c>
      <c r="G744" s="23">
        <f>IF(A744="","",WEEKNUM(A744,2))</f>
        <v/>
      </c>
      <c r="H744" s="49">
        <f>IF(A744="","",DATE(YEAR(A744),MONTH(A744),1))</f>
        <v/>
      </c>
    </row>
    <row r="745">
      <c r="A745" s="48" t="n"/>
      <c r="B745" s="44" t="n"/>
      <c r="C745" s="44" t="n"/>
      <c r="D745" s="45" t="n"/>
      <c r="E745" s="44" t="n"/>
      <c r="F745" s="23">
        <f>IF(B745="","",IFERROR(INDEX(Cat_Tipo,MATCH(B745,Lista_Categorias,0)),"Deseo"))</f>
        <v/>
      </c>
      <c r="G745" s="23">
        <f>IF(A745="","",WEEKNUM(A745,2))</f>
        <v/>
      </c>
      <c r="H745" s="49">
        <f>IF(A745="","",DATE(YEAR(A745),MONTH(A745),1))</f>
        <v/>
      </c>
    </row>
    <row r="746">
      <c r="A746" s="48" t="n"/>
      <c r="B746" s="44" t="n"/>
      <c r="C746" s="44" t="n"/>
      <c r="D746" s="45" t="n"/>
      <c r="E746" s="44" t="n"/>
      <c r="F746" s="23">
        <f>IF(B746="","",IFERROR(INDEX(Cat_Tipo,MATCH(B746,Lista_Categorias,0)),"Deseo"))</f>
        <v/>
      </c>
      <c r="G746" s="23">
        <f>IF(A746="","",WEEKNUM(A746,2))</f>
        <v/>
      </c>
      <c r="H746" s="49">
        <f>IF(A746="","",DATE(YEAR(A746),MONTH(A746),1))</f>
        <v/>
      </c>
    </row>
    <row r="747">
      <c r="A747" s="48" t="n"/>
      <c r="B747" s="44" t="n"/>
      <c r="C747" s="44" t="n"/>
      <c r="D747" s="45" t="n"/>
      <c r="E747" s="44" t="n"/>
      <c r="F747" s="23">
        <f>IF(B747="","",IFERROR(INDEX(Cat_Tipo,MATCH(B747,Lista_Categorias,0)),"Deseo"))</f>
        <v/>
      </c>
      <c r="G747" s="23">
        <f>IF(A747="","",WEEKNUM(A747,2))</f>
        <v/>
      </c>
      <c r="H747" s="49">
        <f>IF(A747="","",DATE(YEAR(A747),MONTH(A747),1))</f>
        <v/>
      </c>
    </row>
    <row r="748">
      <c r="A748" s="48" t="n"/>
      <c r="B748" s="44" t="n"/>
      <c r="C748" s="44" t="n"/>
      <c r="D748" s="45" t="n"/>
      <c r="E748" s="44" t="n"/>
      <c r="F748" s="23">
        <f>IF(B748="","",IFERROR(INDEX(Cat_Tipo,MATCH(B748,Lista_Categorias,0)),"Deseo"))</f>
        <v/>
      </c>
      <c r="G748" s="23">
        <f>IF(A748="","",WEEKNUM(A748,2))</f>
        <v/>
      </c>
      <c r="H748" s="49">
        <f>IF(A748="","",DATE(YEAR(A748),MONTH(A748),1))</f>
        <v/>
      </c>
    </row>
    <row r="749">
      <c r="A749" s="48" t="n"/>
      <c r="B749" s="44" t="n"/>
      <c r="C749" s="44" t="n"/>
      <c r="D749" s="45" t="n"/>
      <c r="E749" s="44" t="n"/>
      <c r="F749" s="23">
        <f>IF(B749="","",IFERROR(INDEX(Cat_Tipo,MATCH(B749,Lista_Categorias,0)),"Deseo"))</f>
        <v/>
      </c>
      <c r="G749" s="23">
        <f>IF(A749="","",WEEKNUM(A749,2))</f>
        <v/>
      </c>
      <c r="H749" s="49">
        <f>IF(A749="","",DATE(YEAR(A749),MONTH(A749),1))</f>
        <v/>
      </c>
    </row>
    <row r="750">
      <c r="A750" s="48" t="n"/>
      <c r="B750" s="44" t="n"/>
      <c r="C750" s="44" t="n"/>
      <c r="D750" s="45" t="n"/>
      <c r="E750" s="44" t="n"/>
      <c r="F750" s="23">
        <f>IF(B750="","",IFERROR(INDEX(Cat_Tipo,MATCH(B750,Lista_Categorias,0)),"Deseo"))</f>
        <v/>
      </c>
      <c r="G750" s="23">
        <f>IF(A750="","",WEEKNUM(A750,2))</f>
        <v/>
      </c>
      <c r="H750" s="49">
        <f>IF(A750="","",DATE(YEAR(A750),MONTH(A750),1))</f>
        <v/>
      </c>
    </row>
    <row r="751">
      <c r="A751" s="48" t="n"/>
      <c r="B751" s="44" t="n"/>
      <c r="C751" s="44" t="n"/>
      <c r="D751" s="45" t="n"/>
      <c r="E751" s="44" t="n"/>
      <c r="F751" s="23">
        <f>IF(B751="","",IFERROR(INDEX(Cat_Tipo,MATCH(B751,Lista_Categorias,0)),"Deseo"))</f>
        <v/>
      </c>
      <c r="G751" s="23">
        <f>IF(A751="","",WEEKNUM(A751,2))</f>
        <v/>
      </c>
      <c r="H751" s="49">
        <f>IF(A751="","",DATE(YEAR(A751),MONTH(A751),1))</f>
        <v/>
      </c>
    </row>
    <row r="752">
      <c r="A752" s="48" t="n"/>
      <c r="B752" s="44" t="n"/>
      <c r="C752" s="44" t="n"/>
      <c r="D752" s="45" t="n"/>
      <c r="E752" s="44" t="n"/>
      <c r="F752" s="23">
        <f>IF(B752="","",IFERROR(INDEX(Cat_Tipo,MATCH(B752,Lista_Categorias,0)),"Deseo"))</f>
        <v/>
      </c>
      <c r="G752" s="23">
        <f>IF(A752="","",WEEKNUM(A752,2))</f>
        <v/>
      </c>
      <c r="H752" s="49">
        <f>IF(A752="","",DATE(YEAR(A752),MONTH(A752),1))</f>
        <v/>
      </c>
    </row>
    <row r="753">
      <c r="A753" s="48" t="n"/>
      <c r="B753" s="44" t="n"/>
      <c r="C753" s="44" t="n"/>
      <c r="D753" s="45" t="n"/>
      <c r="E753" s="44" t="n"/>
      <c r="F753" s="23">
        <f>IF(B753="","",IFERROR(INDEX(Cat_Tipo,MATCH(B753,Lista_Categorias,0)),"Deseo"))</f>
        <v/>
      </c>
      <c r="G753" s="23">
        <f>IF(A753="","",WEEKNUM(A753,2))</f>
        <v/>
      </c>
      <c r="H753" s="49">
        <f>IF(A753="","",DATE(YEAR(A753),MONTH(A753),1))</f>
        <v/>
      </c>
    </row>
    <row r="754">
      <c r="A754" s="48" t="n"/>
      <c r="B754" s="44" t="n"/>
      <c r="C754" s="44" t="n"/>
      <c r="D754" s="45" t="n"/>
      <c r="E754" s="44" t="n"/>
      <c r="F754" s="23">
        <f>IF(B754="","",IFERROR(INDEX(Cat_Tipo,MATCH(B754,Lista_Categorias,0)),"Deseo"))</f>
        <v/>
      </c>
      <c r="G754" s="23">
        <f>IF(A754="","",WEEKNUM(A754,2))</f>
        <v/>
      </c>
      <c r="H754" s="49">
        <f>IF(A754="","",DATE(YEAR(A754),MONTH(A754),1))</f>
        <v/>
      </c>
    </row>
    <row r="755">
      <c r="A755" s="48" t="n"/>
      <c r="B755" s="44" t="n"/>
      <c r="C755" s="44" t="n"/>
      <c r="D755" s="45" t="n"/>
      <c r="E755" s="44" t="n"/>
      <c r="F755" s="23">
        <f>IF(B755="","",IFERROR(INDEX(Cat_Tipo,MATCH(B755,Lista_Categorias,0)),"Deseo"))</f>
        <v/>
      </c>
      <c r="G755" s="23">
        <f>IF(A755="","",WEEKNUM(A755,2))</f>
        <v/>
      </c>
      <c r="H755" s="49">
        <f>IF(A755="","",DATE(YEAR(A755),MONTH(A755),1))</f>
        <v/>
      </c>
    </row>
    <row r="756">
      <c r="A756" s="48" t="n"/>
      <c r="B756" s="44" t="n"/>
      <c r="C756" s="44" t="n"/>
      <c r="D756" s="45" t="n"/>
      <c r="E756" s="44" t="n"/>
      <c r="F756" s="23">
        <f>IF(B756="","",IFERROR(INDEX(Cat_Tipo,MATCH(B756,Lista_Categorias,0)),"Deseo"))</f>
        <v/>
      </c>
      <c r="G756" s="23">
        <f>IF(A756="","",WEEKNUM(A756,2))</f>
        <v/>
      </c>
      <c r="H756" s="49">
        <f>IF(A756="","",DATE(YEAR(A756),MONTH(A756),1))</f>
        <v/>
      </c>
    </row>
    <row r="757">
      <c r="A757" s="48" t="n"/>
      <c r="B757" s="44" t="n"/>
      <c r="C757" s="44" t="n"/>
      <c r="D757" s="45" t="n"/>
      <c r="E757" s="44" t="n"/>
      <c r="F757" s="23">
        <f>IF(B757="","",IFERROR(INDEX(Cat_Tipo,MATCH(B757,Lista_Categorias,0)),"Deseo"))</f>
        <v/>
      </c>
      <c r="G757" s="23">
        <f>IF(A757="","",WEEKNUM(A757,2))</f>
        <v/>
      </c>
      <c r="H757" s="49">
        <f>IF(A757="","",DATE(YEAR(A757),MONTH(A757),1))</f>
        <v/>
      </c>
    </row>
    <row r="758">
      <c r="A758" s="48" t="n"/>
      <c r="B758" s="44" t="n"/>
      <c r="C758" s="44" t="n"/>
      <c r="D758" s="45" t="n"/>
      <c r="E758" s="44" t="n"/>
      <c r="F758" s="23">
        <f>IF(B758="","",IFERROR(INDEX(Cat_Tipo,MATCH(B758,Lista_Categorias,0)),"Deseo"))</f>
        <v/>
      </c>
      <c r="G758" s="23">
        <f>IF(A758="","",WEEKNUM(A758,2))</f>
        <v/>
      </c>
      <c r="H758" s="49">
        <f>IF(A758="","",DATE(YEAR(A758),MONTH(A758),1))</f>
        <v/>
      </c>
    </row>
    <row r="759">
      <c r="A759" s="48" t="n"/>
      <c r="B759" s="44" t="n"/>
      <c r="C759" s="44" t="n"/>
      <c r="D759" s="45" t="n"/>
      <c r="E759" s="44" t="n"/>
      <c r="F759" s="23">
        <f>IF(B759="","",IFERROR(INDEX(Cat_Tipo,MATCH(B759,Lista_Categorias,0)),"Deseo"))</f>
        <v/>
      </c>
      <c r="G759" s="23">
        <f>IF(A759="","",WEEKNUM(A759,2))</f>
        <v/>
      </c>
      <c r="H759" s="49">
        <f>IF(A759="","",DATE(YEAR(A759),MONTH(A759),1))</f>
        <v/>
      </c>
    </row>
    <row r="760">
      <c r="A760" s="48" t="n"/>
      <c r="B760" s="44" t="n"/>
      <c r="C760" s="44" t="n"/>
      <c r="D760" s="45" t="n"/>
      <c r="E760" s="44" t="n"/>
      <c r="F760" s="23">
        <f>IF(B760="","",IFERROR(INDEX(Cat_Tipo,MATCH(B760,Lista_Categorias,0)),"Deseo"))</f>
        <v/>
      </c>
      <c r="G760" s="23">
        <f>IF(A760="","",WEEKNUM(A760,2))</f>
        <v/>
      </c>
      <c r="H760" s="49">
        <f>IF(A760="","",DATE(YEAR(A760),MONTH(A760),1))</f>
        <v/>
      </c>
    </row>
    <row r="761">
      <c r="A761" s="48" t="n"/>
      <c r="B761" s="44" t="n"/>
      <c r="C761" s="44" t="n"/>
      <c r="D761" s="45" t="n"/>
      <c r="E761" s="44" t="n"/>
      <c r="F761" s="23">
        <f>IF(B761="","",IFERROR(INDEX(Cat_Tipo,MATCH(B761,Lista_Categorias,0)),"Deseo"))</f>
        <v/>
      </c>
      <c r="G761" s="23">
        <f>IF(A761="","",WEEKNUM(A761,2))</f>
        <v/>
      </c>
      <c r="H761" s="49">
        <f>IF(A761="","",DATE(YEAR(A761),MONTH(A761),1))</f>
        <v/>
      </c>
    </row>
    <row r="762">
      <c r="A762" s="48" t="n"/>
      <c r="B762" s="44" t="n"/>
      <c r="C762" s="44" t="n"/>
      <c r="D762" s="45" t="n"/>
      <c r="E762" s="44" t="n"/>
      <c r="F762" s="23">
        <f>IF(B762="","",IFERROR(INDEX(Cat_Tipo,MATCH(B762,Lista_Categorias,0)),"Deseo"))</f>
        <v/>
      </c>
      <c r="G762" s="23">
        <f>IF(A762="","",WEEKNUM(A762,2))</f>
        <v/>
      </c>
      <c r="H762" s="49">
        <f>IF(A762="","",DATE(YEAR(A762),MONTH(A762),1))</f>
        <v/>
      </c>
    </row>
    <row r="763">
      <c r="A763" s="48" t="n"/>
      <c r="B763" s="44" t="n"/>
      <c r="C763" s="44" t="n"/>
      <c r="D763" s="45" t="n"/>
      <c r="E763" s="44" t="n"/>
      <c r="F763" s="23">
        <f>IF(B763="","",IFERROR(INDEX(Cat_Tipo,MATCH(B763,Lista_Categorias,0)),"Deseo"))</f>
        <v/>
      </c>
      <c r="G763" s="23">
        <f>IF(A763="","",WEEKNUM(A763,2))</f>
        <v/>
      </c>
      <c r="H763" s="49">
        <f>IF(A763="","",DATE(YEAR(A763),MONTH(A763),1))</f>
        <v/>
      </c>
    </row>
    <row r="764">
      <c r="A764" s="48" t="n"/>
      <c r="B764" s="44" t="n"/>
      <c r="C764" s="44" t="n"/>
      <c r="D764" s="45" t="n"/>
      <c r="E764" s="44" t="n"/>
      <c r="F764" s="23">
        <f>IF(B764="","",IFERROR(INDEX(Cat_Tipo,MATCH(B764,Lista_Categorias,0)),"Deseo"))</f>
        <v/>
      </c>
      <c r="G764" s="23">
        <f>IF(A764="","",WEEKNUM(A764,2))</f>
        <v/>
      </c>
      <c r="H764" s="49">
        <f>IF(A764="","",DATE(YEAR(A764),MONTH(A764),1))</f>
        <v/>
      </c>
    </row>
    <row r="765">
      <c r="A765" s="48" t="n"/>
      <c r="B765" s="44" t="n"/>
      <c r="C765" s="44" t="n"/>
      <c r="D765" s="45" t="n"/>
      <c r="E765" s="44" t="n"/>
      <c r="F765" s="23">
        <f>IF(B765="","",IFERROR(INDEX(Cat_Tipo,MATCH(B765,Lista_Categorias,0)),"Deseo"))</f>
        <v/>
      </c>
      <c r="G765" s="23">
        <f>IF(A765="","",WEEKNUM(A765,2))</f>
        <v/>
      </c>
      <c r="H765" s="49">
        <f>IF(A765="","",DATE(YEAR(A765),MONTH(A765),1))</f>
        <v/>
      </c>
    </row>
    <row r="766">
      <c r="A766" s="48" t="n"/>
      <c r="B766" s="44" t="n"/>
      <c r="C766" s="44" t="n"/>
      <c r="D766" s="45" t="n"/>
      <c r="E766" s="44" t="n"/>
      <c r="F766" s="23">
        <f>IF(B766="","",IFERROR(INDEX(Cat_Tipo,MATCH(B766,Lista_Categorias,0)),"Deseo"))</f>
        <v/>
      </c>
      <c r="G766" s="23">
        <f>IF(A766="","",WEEKNUM(A766,2))</f>
        <v/>
      </c>
      <c r="H766" s="49">
        <f>IF(A766="","",DATE(YEAR(A766),MONTH(A766),1))</f>
        <v/>
      </c>
    </row>
    <row r="767">
      <c r="A767" s="48" t="n"/>
      <c r="B767" s="44" t="n"/>
      <c r="C767" s="44" t="n"/>
      <c r="D767" s="45" t="n"/>
      <c r="E767" s="44" t="n"/>
      <c r="F767" s="23">
        <f>IF(B767="","",IFERROR(INDEX(Cat_Tipo,MATCH(B767,Lista_Categorias,0)),"Deseo"))</f>
        <v/>
      </c>
      <c r="G767" s="23">
        <f>IF(A767="","",WEEKNUM(A767,2))</f>
        <v/>
      </c>
      <c r="H767" s="49">
        <f>IF(A767="","",DATE(YEAR(A767),MONTH(A767),1))</f>
        <v/>
      </c>
    </row>
    <row r="768">
      <c r="A768" s="48" t="n"/>
      <c r="B768" s="44" t="n"/>
      <c r="C768" s="44" t="n"/>
      <c r="D768" s="45" t="n"/>
      <c r="E768" s="44" t="n"/>
      <c r="F768" s="23">
        <f>IF(B768="","",IFERROR(INDEX(Cat_Tipo,MATCH(B768,Lista_Categorias,0)),"Deseo"))</f>
        <v/>
      </c>
      <c r="G768" s="23">
        <f>IF(A768="","",WEEKNUM(A768,2))</f>
        <v/>
      </c>
      <c r="H768" s="49">
        <f>IF(A768="","",DATE(YEAR(A768),MONTH(A768),1))</f>
        <v/>
      </c>
    </row>
    <row r="769">
      <c r="A769" s="48" t="n"/>
      <c r="B769" s="44" t="n"/>
      <c r="C769" s="44" t="n"/>
      <c r="D769" s="45" t="n"/>
      <c r="E769" s="44" t="n"/>
      <c r="F769" s="23">
        <f>IF(B769="","",IFERROR(INDEX(Cat_Tipo,MATCH(B769,Lista_Categorias,0)),"Deseo"))</f>
        <v/>
      </c>
      <c r="G769" s="23">
        <f>IF(A769="","",WEEKNUM(A769,2))</f>
        <v/>
      </c>
      <c r="H769" s="49">
        <f>IF(A769="","",DATE(YEAR(A769),MONTH(A769),1))</f>
        <v/>
      </c>
    </row>
    <row r="770">
      <c r="A770" s="48" t="n"/>
      <c r="B770" s="44" t="n"/>
      <c r="C770" s="44" t="n"/>
      <c r="D770" s="45" t="n"/>
      <c r="E770" s="44" t="n"/>
      <c r="F770" s="23">
        <f>IF(B770="","",IFERROR(INDEX(Cat_Tipo,MATCH(B770,Lista_Categorias,0)),"Deseo"))</f>
        <v/>
      </c>
      <c r="G770" s="23">
        <f>IF(A770="","",WEEKNUM(A770,2))</f>
        <v/>
      </c>
      <c r="H770" s="49">
        <f>IF(A770="","",DATE(YEAR(A770),MONTH(A770),1))</f>
        <v/>
      </c>
    </row>
    <row r="771">
      <c r="A771" s="48" t="n"/>
      <c r="B771" s="44" t="n"/>
      <c r="C771" s="44" t="n"/>
      <c r="D771" s="45" t="n"/>
      <c r="E771" s="44" t="n"/>
      <c r="F771" s="23">
        <f>IF(B771="","",IFERROR(INDEX(Cat_Tipo,MATCH(B771,Lista_Categorias,0)),"Deseo"))</f>
        <v/>
      </c>
      <c r="G771" s="23">
        <f>IF(A771="","",WEEKNUM(A771,2))</f>
        <v/>
      </c>
      <c r="H771" s="49">
        <f>IF(A771="","",DATE(YEAR(A771),MONTH(A771),1))</f>
        <v/>
      </c>
    </row>
    <row r="772">
      <c r="A772" s="48" t="n"/>
      <c r="B772" s="44" t="n"/>
      <c r="C772" s="44" t="n"/>
      <c r="D772" s="45" t="n"/>
      <c r="E772" s="44" t="n"/>
      <c r="F772" s="23">
        <f>IF(B772="","",IFERROR(INDEX(Cat_Tipo,MATCH(B772,Lista_Categorias,0)),"Deseo"))</f>
        <v/>
      </c>
      <c r="G772" s="23">
        <f>IF(A772="","",WEEKNUM(A772,2))</f>
        <v/>
      </c>
      <c r="H772" s="49">
        <f>IF(A772="","",DATE(YEAR(A772),MONTH(A772),1))</f>
        <v/>
      </c>
    </row>
    <row r="773">
      <c r="A773" s="48" t="n"/>
      <c r="B773" s="44" t="n"/>
      <c r="C773" s="44" t="n"/>
      <c r="D773" s="45" t="n"/>
      <c r="E773" s="44" t="n"/>
      <c r="F773" s="23">
        <f>IF(B773="","",IFERROR(INDEX(Cat_Tipo,MATCH(B773,Lista_Categorias,0)),"Deseo"))</f>
        <v/>
      </c>
      <c r="G773" s="23">
        <f>IF(A773="","",WEEKNUM(A773,2))</f>
        <v/>
      </c>
      <c r="H773" s="49">
        <f>IF(A773="","",DATE(YEAR(A773),MONTH(A773),1))</f>
        <v/>
      </c>
    </row>
    <row r="774">
      <c r="A774" s="48" t="n"/>
      <c r="B774" s="44" t="n"/>
      <c r="C774" s="44" t="n"/>
      <c r="D774" s="45" t="n"/>
      <c r="E774" s="44" t="n"/>
      <c r="F774" s="23">
        <f>IF(B774="","",IFERROR(INDEX(Cat_Tipo,MATCH(B774,Lista_Categorias,0)),"Deseo"))</f>
        <v/>
      </c>
      <c r="G774" s="23">
        <f>IF(A774="","",WEEKNUM(A774,2))</f>
        <v/>
      </c>
      <c r="H774" s="49">
        <f>IF(A774="","",DATE(YEAR(A774),MONTH(A774),1))</f>
        <v/>
      </c>
    </row>
    <row r="775">
      <c r="A775" s="48" t="n"/>
      <c r="B775" s="44" t="n"/>
      <c r="C775" s="44" t="n"/>
      <c r="D775" s="45" t="n"/>
      <c r="E775" s="44" t="n"/>
      <c r="F775" s="23">
        <f>IF(B775="","",IFERROR(INDEX(Cat_Tipo,MATCH(B775,Lista_Categorias,0)),"Deseo"))</f>
        <v/>
      </c>
      <c r="G775" s="23">
        <f>IF(A775="","",WEEKNUM(A775,2))</f>
        <v/>
      </c>
      <c r="H775" s="49">
        <f>IF(A775="","",DATE(YEAR(A775),MONTH(A775),1))</f>
        <v/>
      </c>
    </row>
    <row r="776">
      <c r="A776" s="48" t="n"/>
      <c r="B776" s="44" t="n"/>
      <c r="C776" s="44" t="n"/>
      <c r="D776" s="45" t="n"/>
      <c r="E776" s="44" t="n"/>
      <c r="F776" s="23">
        <f>IF(B776="","",IFERROR(INDEX(Cat_Tipo,MATCH(B776,Lista_Categorias,0)),"Deseo"))</f>
        <v/>
      </c>
      <c r="G776" s="23">
        <f>IF(A776="","",WEEKNUM(A776,2))</f>
        <v/>
      </c>
      <c r="H776" s="49">
        <f>IF(A776="","",DATE(YEAR(A776),MONTH(A776),1))</f>
        <v/>
      </c>
    </row>
    <row r="777">
      <c r="A777" s="48" t="n"/>
      <c r="B777" s="44" t="n"/>
      <c r="C777" s="44" t="n"/>
      <c r="D777" s="45" t="n"/>
      <c r="E777" s="44" t="n"/>
      <c r="F777" s="23">
        <f>IF(B777="","",IFERROR(INDEX(Cat_Tipo,MATCH(B777,Lista_Categorias,0)),"Deseo"))</f>
        <v/>
      </c>
      <c r="G777" s="23">
        <f>IF(A777="","",WEEKNUM(A777,2))</f>
        <v/>
      </c>
      <c r="H777" s="49">
        <f>IF(A777="","",DATE(YEAR(A777),MONTH(A777),1))</f>
        <v/>
      </c>
    </row>
    <row r="778">
      <c r="A778" s="48" t="n"/>
      <c r="B778" s="44" t="n"/>
      <c r="C778" s="44" t="n"/>
      <c r="D778" s="45" t="n"/>
      <c r="E778" s="44" t="n"/>
      <c r="F778" s="23">
        <f>IF(B778="","",IFERROR(INDEX(Cat_Tipo,MATCH(B778,Lista_Categorias,0)),"Deseo"))</f>
        <v/>
      </c>
      <c r="G778" s="23">
        <f>IF(A778="","",WEEKNUM(A778,2))</f>
        <v/>
      </c>
      <c r="H778" s="49">
        <f>IF(A778="","",DATE(YEAR(A778),MONTH(A778),1))</f>
        <v/>
      </c>
    </row>
    <row r="779">
      <c r="A779" s="48" t="n"/>
      <c r="B779" s="44" t="n"/>
      <c r="C779" s="44" t="n"/>
      <c r="D779" s="45" t="n"/>
      <c r="E779" s="44" t="n"/>
      <c r="F779" s="23">
        <f>IF(B779="","",IFERROR(INDEX(Cat_Tipo,MATCH(B779,Lista_Categorias,0)),"Deseo"))</f>
        <v/>
      </c>
      <c r="G779" s="23">
        <f>IF(A779="","",WEEKNUM(A779,2))</f>
        <v/>
      </c>
      <c r="H779" s="49">
        <f>IF(A779="","",DATE(YEAR(A779),MONTH(A779),1))</f>
        <v/>
      </c>
    </row>
    <row r="780">
      <c r="A780" s="48" t="n"/>
      <c r="B780" s="44" t="n"/>
      <c r="C780" s="44" t="n"/>
      <c r="D780" s="45" t="n"/>
      <c r="E780" s="44" t="n"/>
      <c r="F780" s="23">
        <f>IF(B780="","",IFERROR(INDEX(Cat_Tipo,MATCH(B780,Lista_Categorias,0)),"Deseo"))</f>
        <v/>
      </c>
      <c r="G780" s="23">
        <f>IF(A780="","",WEEKNUM(A780,2))</f>
        <v/>
      </c>
      <c r="H780" s="49">
        <f>IF(A780="","",DATE(YEAR(A780),MONTH(A780),1))</f>
        <v/>
      </c>
    </row>
    <row r="781">
      <c r="A781" s="48" t="n"/>
      <c r="B781" s="44" t="n"/>
      <c r="C781" s="44" t="n"/>
      <c r="D781" s="45" t="n"/>
      <c r="E781" s="44" t="n"/>
      <c r="F781" s="23">
        <f>IF(B781="","",IFERROR(INDEX(Cat_Tipo,MATCH(B781,Lista_Categorias,0)),"Deseo"))</f>
        <v/>
      </c>
      <c r="G781" s="23">
        <f>IF(A781="","",WEEKNUM(A781,2))</f>
        <v/>
      </c>
      <c r="H781" s="49">
        <f>IF(A781="","",DATE(YEAR(A781),MONTH(A781),1))</f>
        <v/>
      </c>
    </row>
    <row r="782">
      <c r="A782" s="48" t="n"/>
      <c r="B782" s="44" t="n"/>
      <c r="C782" s="44" t="n"/>
      <c r="D782" s="45" t="n"/>
      <c r="E782" s="44" t="n"/>
      <c r="F782" s="23">
        <f>IF(B782="","",IFERROR(INDEX(Cat_Tipo,MATCH(B782,Lista_Categorias,0)),"Deseo"))</f>
        <v/>
      </c>
      <c r="G782" s="23">
        <f>IF(A782="","",WEEKNUM(A782,2))</f>
        <v/>
      </c>
      <c r="H782" s="49">
        <f>IF(A782="","",DATE(YEAR(A782),MONTH(A782),1))</f>
        <v/>
      </c>
    </row>
    <row r="783">
      <c r="A783" s="48" t="n"/>
      <c r="B783" s="44" t="n"/>
      <c r="C783" s="44" t="n"/>
      <c r="D783" s="45" t="n"/>
      <c r="E783" s="44" t="n"/>
      <c r="F783" s="23">
        <f>IF(B783="","",IFERROR(INDEX(Cat_Tipo,MATCH(B783,Lista_Categorias,0)),"Deseo"))</f>
        <v/>
      </c>
      <c r="G783" s="23">
        <f>IF(A783="","",WEEKNUM(A783,2))</f>
        <v/>
      </c>
      <c r="H783" s="49">
        <f>IF(A783="","",DATE(YEAR(A783),MONTH(A783),1))</f>
        <v/>
      </c>
    </row>
    <row r="784">
      <c r="A784" s="48" t="n"/>
      <c r="B784" s="44" t="n"/>
      <c r="C784" s="44" t="n"/>
      <c r="D784" s="45" t="n"/>
      <c r="E784" s="44" t="n"/>
      <c r="F784" s="23">
        <f>IF(B784="","",IFERROR(INDEX(Cat_Tipo,MATCH(B784,Lista_Categorias,0)),"Deseo"))</f>
        <v/>
      </c>
      <c r="G784" s="23">
        <f>IF(A784="","",WEEKNUM(A784,2))</f>
        <v/>
      </c>
      <c r="H784" s="49">
        <f>IF(A784="","",DATE(YEAR(A784),MONTH(A784),1))</f>
        <v/>
      </c>
    </row>
    <row r="785">
      <c r="A785" s="48" t="n"/>
      <c r="B785" s="44" t="n"/>
      <c r="C785" s="44" t="n"/>
      <c r="D785" s="45" t="n"/>
      <c r="E785" s="44" t="n"/>
      <c r="F785" s="23">
        <f>IF(B785="","",IFERROR(INDEX(Cat_Tipo,MATCH(B785,Lista_Categorias,0)),"Deseo"))</f>
        <v/>
      </c>
      <c r="G785" s="23">
        <f>IF(A785="","",WEEKNUM(A785,2))</f>
        <v/>
      </c>
      <c r="H785" s="49">
        <f>IF(A785="","",DATE(YEAR(A785),MONTH(A785),1))</f>
        <v/>
      </c>
    </row>
    <row r="786">
      <c r="A786" s="48" t="n"/>
      <c r="B786" s="44" t="n"/>
      <c r="C786" s="44" t="n"/>
      <c r="D786" s="45" t="n"/>
      <c r="E786" s="44" t="n"/>
      <c r="F786" s="23">
        <f>IF(B786="","",IFERROR(INDEX(Cat_Tipo,MATCH(B786,Lista_Categorias,0)),"Deseo"))</f>
        <v/>
      </c>
      <c r="G786" s="23">
        <f>IF(A786="","",WEEKNUM(A786,2))</f>
        <v/>
      </c>
      <c r="H786" s="49">
        <f>IF(A786="","",DATE(YEAR(A786),MONTH(A786),1))</f>
        <v/>
      </c>
    </row>
    <row r="787">
      <c r="A787" s="48" t="n"/>
      <c r="B787" s="44" t="n"/>
      <c r="C787" s="44" t="n"/>
      <c r="D787" s="45" t="n"/>
      <c r="E787" s="44" t="n"/>
      <c r="F787" s="23">
        <f>IF(B787="","",IFERROR(INDEX(Cat_Tipo,MATCH(B787,Lista_Categorias,0)),"Deseo"))</f>
        <v/>
      </c>
      <c r="G787" s="23">
        <f>IF(A787="","",WEEKNUM(A787,2))</f>
        <v/>
      </c>
      <c r="H787" s="49">
        <f>IF(A787="","",DATE(YEAR(A787),MONTH(A787),1))</f>
        <v/>
      </c>
    </row>
    <row r="788">
      <c r="A788" s="48" t="n"/>
      <c r="B788" s="44" t="n"/>
      <c r="C788" s="44" t="n"/>
      <c r="D788" s="45" t="n"/>
      <c r="E788" s="44" t="n"/>
      <c r="F788" s="23">
        <f>IF(B788="","",IFERROR(INDEX(Cat_Tipo,MATCH(B788,Lista_Categorias,0)),"Deseo"))</f>
        <v/>
      </c>
      <c r="G788" s="23">
        <f>IF(A788="","",WEEKNUM(A788,2))</f>
        <v/>
      </c>
      <c r="H788" s="49">
        <f>IF(A788="","",DATE(YEAR(A788),MONTH(A788),1))</f>
        <v/>
      </c>
    </row>
    <row r="789">
      <c r="A789" s="48" t="n"/>
      <c r="B789" s="44" t="n"/>
      <c r="C789" s="44" t="n"/>
      <c r="D789" s="45" t="n"/>
      <c r="E789" s="44" t="n"/>
      <c r="F789" s="23">
        <f>IF(B789="","",IFERROR(INDEX(Cat_Tipo,MATCH(B789,Lista_Categorias,0)),"Deseo"))</f>
        <v/>
      </c>
      <c r="G789" s="23">
        <f>IF(A789="","",WEEKNUM(A789,2))</f>
        <v/>
      </c>
      <c r="H789" s="49">
        <f>IF(A789="","",DATE(YEAR(A789),MONTH(A789),1))</f>
        <v/>
      </c>
    </row>
    <row r="790">
      <c r="A790" s="48" t="n"/>
      <c r="B790" s="44" t="n"/>
      <c r="C790" s="44" t="n"/>
      <c r="D790" s="45" t="n"/>
      <c r="E790" s="44" t="n"/>
      <c r="F790" s="23">
        <f>IF(B790="","",IFERROR(INDEX(Cat_Tipo,MATCH(B790,Lista_Categorias,0)),"Deseo"))</f>
        <v/>
      </c>
      <c r="G790" s="23">
        <f>IF(A790="","",WEEKNUM(A790,2))</f>
        <v/>
      </c>
      <c r="H790" s="49">
        <f>IF(A790="","",DATE(YEAR(A790),MONTH(A790),1))</f>
        <v/>
      </c>
    </row>
    <row r="791">
      <c r="A791" s="48" t="n"/>
      <c r="B791" s="44" t="n"/>
      <c r="C791" s="44" t="n"/>
      <c r="D791" s="45" t="n"/>
      <c r="E791" s="44" t="n"/>
      <c r="F791" s="23">
        <f>IF(B791="","",IFERROR(INDEX(Cat_Tipo,MATCH(B791,Lista_Categorias,0)),"Deseo"))</f>
        <v/>
      </c>
      <c r="G791" s="23">
        <f>IF(A791="","",WEEKNUM(A791,2))</f>
        <v/>
      </c>
      <c r="H791" s="49">
        <f>IF(A791="","",DATE(YEAR(A791),MONTH(A791),1))</f>
        <v/>
      </c>
    </row>
    <row r="792">
      <c r="A792" s="48" t="n"/>
      <c r="B792" s="44" t="n"/>
      <c r="C792" s="44" t="n"/>
      <c r="D792" s="45" t="n"/>
      <c r="E792" s="44" t="n"/>
      <c r="F792" s="23">
        <f>IF(B792="","",IFERROR(INDEX(Cat_Tipo,MATCH(B792,Lista_Categorias,0)),"Deseo"))</f>
        <v/>
      </c>
      <c r="G792" s="23">
        <f>IF(A792="","",WEEKNUM(A792,2))</f>
        <v/>
      </c>
      <c r="H792" s="49">
        <f>IF(A792="","",DATE(YEAR(A792),MONTH(A792),1))</f>
        <v/>
      </c>
    </row>
    <row r="793">
      <c r="A793" s="48" t="n"/>
      <c r="B793" s="44" t="n"/>
      <c r="C793" s="44" t="n"/>
      <c r="D793" s="45" t="n"/>
      <c r="E793" s="44" t="n"/>
      <c r="F793" s="23">
        <f>IF(B793="","",IFERROR(INDEX(Cat_Tipo,MATCH(B793,Lista_Categorias,0)),"Deseo"))</f>
        <v/>
      </c>
      <c r="G793" s="23">
        <f>IF(A793="","",WEEKNUM(A793,2))</f>
        <v/>
      </c>
      <c r="H793" s="49">
        <f>IF(A793="","",DATE(YEAR(A793),MONTH(A793),1))</f>
        <v/>
      </c>
    </row>
    <row r="794">
      <c r="A794" s="48" t="n"/>
      <c r="B794" s="44" t="n"/>
      <c r="C794" s="44" t="n"/>
      <c r="D794" s="45" t="n"/>
      <c r="E794" s="44" t="n"/>
      <c r="F794" s="23">
        <f>IF(B794="","",IFERROR(INDEX(Cat_Tipo,MATCH(B794,Lista_Categorias,0)),"Deseo"))</f>
        <v/>
      </c>
      <c r="G794" s="23">
        <f>IF(A794="","",WEEKNUM(A794,2))</f>
        <v/>
      </c>
      <c r="H794" s="49">
        <f>IF(A794="","",DATE(YEAR(A794),MONTH(A794),1))</f>
        <v/>
      </c>
    </row>
    <row r="795">
      <c r="A795" s="48" t="n"/>
      <c r="B795" s="44" t="n"/>
      <c r="C795" s="44" t="n"/>
      <c r="D795" s="45" t="n"/>
      <c r="E795" s="44" t="n"/>
      <c r="F795" s="23">
        <f>IF(B795="","",IFERROR(INDEX(Cat_Tipo,MATCH(B795,Lista_Categorias,0)),"Deseo"))</f>
        <v/>
      </c>
      <c r="G795" s="23">
        <f>IF(A795="","",WEEKNUM(A795,2))</f>
        <v/>
      </c>
      <c r="H795" s="49">
        <f>IF(A795="","",DATE(YEAR(A795),MONTH(A795),1))</f>
        <v/>
      </c>
    </row>
    <row r="796">
      <c r="A796" s="48" t="n"/>
      <c r="B796" s="44" t="n"/>
      <c r="C796" s="44" t="n"/>
      <c r="D796" s="45" t="n"/>
      <c r="E796" s="44" t="n"/>
      <c r="F796" s="23">
        <f>IF(B796="","",IFERROR(INDEX(Cat_Tipo,MATCH(B796,Lista_Categorias,0)),"Deseo"))</f>
        <v/>
      </c>
      <c r="G796" s="23">
        <f>IF(A796="","",WEEKNUM(A796,2))</f>
        <v/>
      </c>
      <c r="H796" s="49">
        <f>IF(A796="","",DATE(YEAR(A796),MONTH(A796),1))</f>
        <v/>
      </c>
    </row>
    <row r="797">
      <c r="A797" s="48" t="n"/>
      <c r="B797" s="44" t="n"/>
      <c r="C797" s="44" t="n"/>
      <c r="D797" s="45" t="n"/>
      <c r="E797" s="44" t="n"/>
      <c r="F797" s="23">
        <f>IF(B797="","",IFERROR(INDEX(Cat_Tipo,MATCH(B797,Lista_Categorias,0)),"Deseo"))</f>
        <v/>
      </c>
      <c r="G797" s="23">
        <f>IF(A797="","",WEEKNUM(A797,2))</f>
        <v/>
      </c>
      <c r="H797" s="49">
        <f>IF(A797="","",DATE(YEAR(A797),MONTH(A797),1))</f>
        <v/>
      </c>
    </row>
    <row r="798">
      <c r="A798" s="48" t="n"/>
      <c r="B798" s="44" t="n"/>
      <c r="C798" s="44" t="n"/>
      <c r="D798" s="45" t="n"/>
      <c r="E798" s="44" t="n"/>
      <c r="F798" s="23">
        <f>IF(B798="","",IFERROR(INDEX(Cat_Tipo,MATCH(B798,Lista_Categorias,0)),"Deseo"))</f>
        <v/>
      </c>
      <c r="G798" s="23">
        <f>IF(A798="","",WEEKNUM(A798,2))</f>
        <v/>
      </c>
      <c r="H798" s="49">
        <f>IF(A798="","",DATE(YEAR(A798),MONTH(A798),1))</f>
        <v/>
      </c>
    </row>
    <row r="799">
      <c r="A799" s="48" t="n"/>
      <c r="B799" s="44" t="n"/>
      <c r="C799" s="44" t="n"/>
      <c r="D799" s="45" t="n"/>
      <c r="E799" s="44" t="n"/>
      <c r="F799" s="23">
        <f>IF(B799="","",IFERROR(INDEX(Cat_Tipo,MATCH(B799,Lista_Categorias,0)),"Deseo"))</f>
        <v/>
      </c>
      <c r="G799" s="23">
        <f>IF(A799="","",WEEKNUM(A799,2))</f>
        <v/>
      </c>
      <c r="H799" s="49">
        <f>IF(A799="","",DATE(YEAR(A799),MONTH(A799),1))</f>
        <v/>
      </c>
    </row>
    <row r="800">
      <c r="A800" s="48" t="n"/>
      <c r="B800" s="44" t="n"/>
      <c r="C800" s="44" t="n"/>
      <c r="D800" s="45" t="n"/>
      <c r="E800" s="44" t="n"/>
      <c r="F800" s="23">
        <f>IF(B800="","",IFERROR(INDEX(Cat_Tipo,MATCH(B800,Lista_Categorias,0)),"Deseo"))</f>
        <v/>
      </c>
      <c r="G800" s="23">
        <f>IF(A800="","",WEEKNUM(A800,2))</f>
        <v/>
      </c>
      <c r="H800" s="49">
        <f>IF(A800="","",DATE(YEAR(A800),MONTH(A800),1))</f>
        <v/>
      </c>
    </row>
    <row r="801">
      <c r="A801" s="48" t="n"/>
      <c r="B801" s="44" t="n"/>
      <c r="C801" s="44" t="n"/>
      <c r="D801" s="45" t="n"/>
      <c r="E801" s="44" t="n"/>
      <c r="F801" s="23">
        <f>IF(B801="","",IFERROR(INDEX(Cat_Tipo,MATCH(B801,Lista_Categorias,0)),"Deseo"))</f>
        <v/>
      </c>
      <c r="G801" s="23">
        <f>IF(A801="","",WEEKNUM(A801,2))</f>
        <v/>
      </c>
      <c r="H801" s="49">
        <f>IF(A801="","",DATE(YEAR(A801),MONTH(A801),1))</f>
        <v/>
      </c>
    </row>
    <row r="802">
      <c r="A802" s="48" t="n"/>
      <c r="B802" s="44" t="n"/>
      <c r="C802" s="44" t="n"/>
      <c r="D802" s="45" t="n"/>
      <c r="E802" s="44" t="n"/>
      <c r="F802" s="23">
        <f>IF(B802="","",IFERROR(INDEX(Cat_Tipo,MATCH(B802,Lista_Categorias,0)),"Deseo"))</f>
        <v/>
      </c>
      <c r="G802" s="23">
        <f>IF(A802="","",WEEKNUM(A802,2))</f>
        <v/>
      </c>
      <c r="H802" s="49">
        <f>IF(A802="","",DATE(YEAR(A802),MONTH(A802),1))</f>
        <v/>
      </c>
    </row>
    <row r="803">
      <c r="A803" s="48" t="n"/>
      <c r="B803" s="44" t="n"/>
      <c r="C803" s="44" t="n"/>
      <c r="D803" s="45" t="n"/>
      <c r="E803" s="44" t="n"/>
      <c r="F803" s="23">
        <f>IF(B803="","",IFERROR(INDEX(Cat_Tipo,MATCH(B803,Lista_Categorias,0)),"Deseo"))</f>
        <v/>
      </c>
      <c r="G803" s="23">
        <f>IF(A803="","",WEEKNUM(A803,2))</f>
        <v/>
      </c>
      <c r="H803" s="49">
        <f>IF(A803="","",DATE(YEAR(A803),MONTH(A803),1))</f>
        <v/>
      </c>
    </row>
    <row r="804">
      <c r="A804" s="48" t="n"/>
      <c r="B804" s="44" t="n"/>
      <c r="C804" s="44" t="n"/>
      <c r="D804" s="45" t="n"/>
      <c r="E804" s="44" t="n"/>
      <c r="F804" s="23">
        <f>IF(B804="","",IFERROR(INDEX(Cat_Tipo,MATCH(B804,Lista_Categorias,0)),"Deseo"))</f>
        <v/>
      </c>
      <c r="G804" s="23">
        <f>IF(A804="","",WEEKNUM(A804,2))</f>
        <v/>
      </c>
      <c r="H804" s="49">
        <f>IF(A804="","",DATE(YEAR(A804),MONTH(A804),1))</f>
        <v/>
      </c>
    </row>
    <row r="805">
      <c r="A805" s="48" t="n"/>
      <c r="B805" s="44" t="n"/>
      <c r="C805" s="44" t="n"/>
      <c r="D805" s="45" t="n"/>
      <c r="E805" s="44" t="n"/>
      <c r="F805" s="23">
        <f>IF(B805="","",IFERROR(INDEX(Cat_Tipo,MATCH(B805,Lista_Categorias,0)),"Deseo"))</f>
        <v/>
      </c>
      <c r="G805" s="23">
        <f>IF(A805="","",WEEKNUM(A805,2))</f>
        <v/>
      </c>
      <c r="H805" s="49">
        <f>IF(A805="","",DATE(YEAR(A805),MONTH(A805),1))</f>
        <v/>
      </c>
    </row>
    <row r="806">
      <c r="A806" s="48" t="n"/>
      <c r="B806" s="44" t="n"/>
      <c r="C806" s="44" t="n"/>
      <c r="D806" s="45" t="n"/>
      <c r="E806" s="44" t="n"/>
      <c r="F806" s="23">
        <f>IF(B806="","",IFERROR(INDEX(Cat_Tipo,MATCH(B806,Lista_Categorias,0)),"Deseo"))</f>
        <v/>
      </c>
      <c r="G806" s="23">
        <f>IF(A806="","",WEEKNUM(A806,2))</f>
        <v/>
      </c>
      <c r="H806" s="49">
        <f>IF(A806="","",DATE(YEAR(A806),MONTH(A806),1))</f>
        <v/>
      </c>
    </row>
    <row r="807">
      <c r="A807" s="48" t="n"/>
      <c r="B807" s="44" t="n"/>
      <c r="C807" s="44" t="n"/>
      <c r="D807" s="45" t="n"/>
      <c r="E807" s="44" t="n"/>
      <c r="F807" s="23">
        <f>IF(B807="","",IFERROR(INDEX(Cat_Tipo,MATCH(B807,Lista_Categorias,0)),"Deseo"))</f>
        <v/>
      </c>
      <c r="G807" s="23">
        <f>IF(A807="","",WEEKNUM(A807,2))</f>
        <v/>
      </c>
      <c r="H807" s="49">
        <f>IF(A807="","",DATE(YEAR(A807),MONTH(A807),1))</f>
        <v/>
      </c>
    </row>
    <row r="808">
      <c r="A808" s="48" t="n"/>
      <c r="B808" s="44" t="n"/>
      <c r="C808" s="44" t="n"/>
      <c r="D808" s="45" t="n"/>
      <c r="E808" s="44" t="n"/>
      <c r="F808" s="23">
        <f>IF(B808="","",IFERROR(INDEX(Cat_Tipo,MATCH(B808,Lista_Categorias,0)),"Deseo"))</f>
        <v/>
      </c>
      <c r="G808" s="23">
        <f>IF(A808="","",WEEKNUM(A808,2))</f>
        <v/>
      </c>
      <c r="H808" s="49">
        <f>IF(A808="","",DATE(YEAR(A808),MONTH(A808),1))</f>
        <v/>
      </c>
    </row>
    <row r="809">
      <c r="A809" s="48" t="n"/>
      <c r="B809" s="44" t="n"/>
      <c r="C809" s="44" t="n"/>
      <c r="D809" s="45" t="n"/>
      <c r="E809" s="44" t="n"/>
      <c r="F809" s="23">
        <f>IF(B809="","",IFERROR(INDEX(Cat_Tipo,MATCH(B809,Lista_Categorias,0)),"Deseo"))</f>
        <v/>
      </c>
      <c r="G809" s="23">
        <f>IF(A809="","",WEEKNUM(A809,2))</f>
        <v/>
      </c>
      <c r="H809" s="49">
        <f>IF(A809="","",DATE(YEAR(A809),MONTH(A809),1))</f>
        <v/>
      </c>
    </row>
    <row r="810">
      <c r="A810" s="48" t="n"/>
      <c r="B810" s="44" t="n"/>
      <c r="C810" s="44" t="n"/>
      <c r="D810" s="45" t="n"/>
      <c r="E810" s="44" t="n"/>
      <c r="F810" s="23">
        <f>IF(B810="","",IFERROR(INDEX(Cat_Tipo,MATCH(B810,Lista_Categorias,0)),"Deseo"))</f>
        <v/>
      </c>
      <c r="G810" s="23">
        <f>IF(A810="","",WEEKNUM(A810,2))</f>
        <v/>
      </c>
      <c r="H810" s="49">
        <f>IF(A810="","",DATE(YEAR(A810),MONTH(A810),1))</f>
        <v/>
      </c>
    </row>
    <row r="811">
      <c r="A811" s="48" t="n"/>
      <c r="B811" s="44" t="n"/>
      <c r="C811" s="44" t="n"/>
      <c r="D811" s="45" t="n"/>
      <c r="E811" s="44" t="n"/>
      <c r="F811" s="23">
        <f>IF(B811="","",IFERROR(INDEX(Cat_Tipo,MATCH(B811,Lista_Categorias,0)),"Deseo"))</f>
        <v/>
      </c>
      <c r="G811" s="23">
        <f>IF(A811="","",WEEKNUM(A811,2))</f>
        <v/>
      </c>
      <c r="H811" s="49">
        <f>IF(A811="","",DATE(YEAR(A811),MONTH(A811),1))</f>
        <v/>
      </c>
    </row>
    <row r="812">
      <c r="A812" s="48" t="n"/>
      <c r="B812" s="44" t="n"/>
      <c r="C812" s="44" t="n"/>
      <c r="D812" s="45" t="n"/>
      <c r="E812" s="44" t="n"/>
      <c r="F812" s="23">
        <f>IF(B812="","",IFERROR(INDEX(Cat_Tipo,MATCH(B812,Lista_Categorias,0)),"Deseo"))</f>
        <v/>
      </c>
      <c r="G812" s="23">
        <f>IF(A812="","",WEEKNUM(A812,2))</f>
        <v/>
      </c>
      <c r="H812" s="49">
        <f>IF(A812="","",DATE(YEAR(A812),MONTH(A812),1))</f>
        <v/>
      </c>
    </row>
    <row r="813">
      <c r="A813" s="48" t="n"/>
      <c r="B813" s="44" t="n"/>
      <c r="C813" s="44" t="n"/>
      <c r="D813" s="45" t="n"/>
      <c r="E813" s="44" t="n"/>
      <c r="F813" s="23">
        <f>IF(B813="","",IFERROR(INDEX(Cat_Tipo,MATCH(B813,Lista_Categorias,0)),"Deseo"))</f>
        <v/>
      </c>
      <c r="G813" s="23">
        <f>IF(A813="","",WEEKNUM(A813,2))</f>
        <v/>
      </c>
      <c r="H813" s="49">
        <f>IF(A813="","",DATE(YEAR(A813),MONTH(A813),1))</f>
        <v/>
      </c>
    </row>
    <row r="814">
      <c r="A814" s="48" t="n"/>
      <c r="B814" s="44" t="n"/>
      <c r="C814" s="44" t="n"/>
      <c r="D814" s="45" t="n"/>
      <c r="E814" s="44" t="n"/>
      <c r="F814" s="23">
        <f>IF(B814="","",IFERROR(INDEX(Cat_Tipo,MATCH(B814,Lista_Categorias,0)),"Deseo"))</f>
        <v/>
      </c>
      <c r="G814" s="23">
        <f>IF(A814="","",WEEKNUM(A814,2))</f>
        <v/>
      </c>
      <c r="H814" s="49">
        <f>IF(A814="","",DATE(YEAR(A814),MONTH(A814),1))</f>
        <v/>
      </c>
    </row>
    <row r="815">
      <c r="A815" s="48" t="n"/>
      <c r="B815" s="44" t="n"/>
      <c r="C815" s="44" t="n"/>
      <c r="D815" s="45" t="n"/>
      <c r="E815" s="44" t="n"/>
      <c r="F815" s="23">
        <f>IF(B815="","",IFERROR(INDEX(Cat_Tipo,MATCH(B815,Lista_Categorias,0)),"Deseo"))</f>
        <v/>
      </c>
      <c r="G815" s="23">
        <f>IF(A815="","",WEEKNUM(A815,2))</f>
        <v/>
      </c>
      <c r="H815" s="49">
        <f>IF(A815="","",DATE(YEAR(A815),MONTH(A815),1))</f>
        <v/>
      </c>
    </row>
    <row r="816">
      <c r="A816" s="48" t="n"/>
      <c r="B816" s="44" t="n"/>
      <c r="C816" s="44" t="n"/>
      <c r="D816" s="45" t="n"/>
      <c r="E816" s="44" t="n"/>
      <c r="F816" s="23">
        <f>IF(B816="","",IFERROR(INDEX(Cat_Tipo,MATCH(B816,Lista_Categorias,0)),"Deseo"))</f>
        <v/>
      </c>
      <c r="G816" s="23">
        <f>IF(A816="","",WEEKNUM(A816,2))</f>
        <v/>
      </c>
      <c r="H816" s="49">
        <f>IF(A816="","",DATE(YEAR(A816),MONTH(A816),1))</f>
        <v/>
      </c>
    </row>
    <row r="817">
      <c r="A817" s="48" t="n"/>
      <c r="B817" s="44" t="n"/>
      <c r="C817" s="44" t="n"/>
      <c r="D817" s="45" t="n"/>
      <c r="E817" s="44" t="n"/>
      <c r="F817" s="23">
        <f>IF(B817="","",IFERROR(INDEX(Cat_Tipo,MATCH(B817,Lista_Categorias,0)),"Deseo"))</f>
        <v/>
      </c>
      <c r="G817" s="23">
        <f>IF(A817="","",WEEKNUM(A817,2))</f>
        <v/>
      </c>
      <c r="H817" s="49">
        <f>IF(A817="","",DATE(YEAR(A817),MONTH(A817),1))</f>
        <v/>
      </c>
    </row>
    <row r="818">
      <c r="A818" s="48" t="n"/>
      <c r="B818" s="44" t="n"/>
      <c r="C818" s="44" t="n"/>
      <c r="D818" s="45" t="n"/>
      <c r="E818" s="44" t="n"/>
      <c r="F818" s="23">
        <f>IF(B818="","",IFERROR(INDEX(Cat_Tipo,MATCH(B818,Lista_Categorias,0)),"Deseo"))</f>
        <v/>
      </c>
      <c r="G818" s="23">
        <f>IF(A818="","",WEEKNUM(A818,2))</f>
        <v/>
      </c>
      <c r="H818" s="49">
        <f>IF(A818="","",DATE(YEAR(A818),MONTH(A818),1))</f>
        <v/>
      </c>
    </row>
    <row r="819">
      <c r="A819" s="48" t="n"/>
      <c r="B819" s="44" t="n"/>
      <c r="C819" s="44" t="n"/>
      <c r="D819" s="45" t="n"/>
      <c r="E819" s="44" t="n"/>
      <c r="F819" s="23">
        <f>IF(B819="","",IFERROR(INDEX(Cat_Tipo,MATCH(B819,Lista_Categorias,0)),"Deseo"))</f>
        <v/>
      </c>
      <c r="G819" s="23">
        <f>IF(A819="","",WEEKNUM(A819,2))</f>
        <v/>
      </c>
      <c r="H819" s="49">
        <f>IF(A819="","",DATE(YEAR(A819),MONTH(A819),1))</f>
        <v/>
      </c>
    </row>
    <row r="820">
      <c r="A820" s="48" t="n"/>
      <c r="B820" s="44" t="n"/>
      <c r="C820" s="44" t="n"/>
      <c r="D820" s="45" t="n"/>
      <c r="E820" s="44" t="n"/>
      <c r="F820" s="23">
        <f>IF(B820="","",IFERROR(INDEX(Cat_Tipo,MATCH(B820,Lista_Categorias,0)),"Deseo"))</f>
        <v/>
      </c>
      <c r="G820" s="23">
        <f>IF(A820="","",WEEKNUM(A820,2))</f>
        <v/>
      </c>
      <c r="H820" s="49">
        <f>IF(A820="","",DATE(YEAR(A820),MONTH(A820),1))</f>
        <v/>
      </c>
    </row>
    <row r="821">
      <c r="A821" s="48" t="n"/>
      <c r="B821" s="44" t="n"/>
      <c r="C821" s="44" t="n"/>
      <c r="D821" s="45" t="n"/>
      <c r="E821" s="44" t="n"/>
      <c r="F821" s="23">
        <f>IF(B821="","",IFERROR(INDEX(Cat_Tipo,MATCH(B821,Lista_Categorias,0)),"Deseo"))</f>
        <v/>
      </c>
      <c r="G821" s="23">
        <f>IF(A821="","",WEEKNUM(A821,2))</f>
        <v/>
      </c>
      <c r="H821" s="49">
        <f>IF(A821="","",DATE(YEAR(A821),MONTH(A821),1))</f>
        <v/>
      </c>
    </row>
    <row r="822">
      <c r="A822" s="48" t="n"/>
      <c r="B822" s="44" t="n"/>
      <c r="C822" s="44" t="n"/>
      <c r="D822" s="45" t="n"/>
      <c r="E822" s="44" t="n"/>
      <c r="F822" s="23">
        <f>IF(B822="","",IFERROR(INDEX(Cat_Tipo,MATCH(B822,Lista_Categorias,0)),"Deseo"))</f>
        <v/>
      </c>
      <c r="G822" s="23">
        <f>IF(A822="","",WEEKNUM(A822,2))</f>
        <v/>
      </c>
      <c r="H822" s="49">
        <f>IF(A822="","",DATE(YEAR(A822),MONTH(A822),1))</f>
        <v/>
      </c>
    </row>
    <row r="823">
      <c r="A823" s="48" t="n"/>
      <c r="B823" s="44" t="n"/>
      <c r="C823" s="44" t="n"/>
      <c r="D823" s="45" t="n"/>
      <c r="E823" s="44" t="n"/>
      <c r="F823" s="23">
        <f>IF(B823="","",IFERROR(INDEX(Cat_Tipo,MATCH(B823,Lista_Categorias,0)),"Deseo"))</f>
        <v/>
      </c>
      <c r="G823" s="23">
        <f>IF(A823="","",WEEKNUM(A823,2))</f>
        <v/>
      </c>
      <c r="H823" s="49">
        <f>IF(A823="","",DATE(YEAR(A823),MONTH(A823),1))</f>
        <v/>
      </c>
    </row>
    <row r="824">
      <c r="A824" s="48" t="n"/>
      <c r="B824" s="44" t="n"/>
      <c r="C824" s="44" t="n"/>
      <c r="D824" s="45" t="n"/>
      <c r="E824" s="44" t="n"/>
      <c r="F824" s="23">
        <f>IF(B824="","",IFERROR(INDEX(Cat_Tipo,MATCH(B824,Lista_Categorias,0)),"Deseo"))</f>
        <v/>
      </c>
      <c r="G824" s="23">
        <f>IF(A824="","",WEEKNUM(A824,2))</f>
        <v/>
      </c>
      <c r="H824" s="49">
        <f>IF(A824="","",DATE(YEAR(A824),MONTH(A824),1))</f>
        <v/>
      </c>
    </row>
    <row r="825">
      <c r="A825" s="48" t="n"/>
      <c r="B825" s="44" t="n"/>
      <c r="C825" s="44" t="n"/>
      <c r="D825" s="45" t="n"/>
      <c r="E825" s="44" t="n"/>
      <c r="F825" s="23">
        <f>IF(B825="","",IFERROR(INDEX(Cat_Tipo,MATCH(B825,Lista_Categorias,0)),"Deseo"))</f>
        <v/>
      </c>
      <c r="G825" s="23">
        <f>IF(A825="","",WEEKNUM(A825,2))</f>
        <v/>
      </c>
      <c r="H825" s="49">
        <f>IF(A825="","",DATE(YEAR(A825),MONTH(A825),1))</f>
        <v/>
      </c>
    </row>
    <row r="826">
      <c r="A826" s="48" t="n"/>
      <c r="B826" s="44" t="n"/>
      <c r="C826" s="44" t="n"/>
      <c r="D826" s="45" t="n"/>
      <c r="E826" s="44" t="n"/>
      <c r="F826" s="23">
        <f>IF(B826="","",IFERROR(INDEX(Cat_Tipo,MATCH(B826,Lista_Categorias,0)),"Deseo"))</f>
        <v/>
      </c>
      <c r="G826" s="23">
        <f>IF(A826="","",WEEKNUM(A826,2))</f>
        <v/>
      </c>
      <c r="H826" s="49">
        <f>IF(A826="","",DATE(YEAR(A826),MONTH(A826),1))</f>
        <v/>
      </c>
    </row>
    <row r="827">
      <c r="A827" s="48" t="n"/>
      <c r="B827" s="44" t="n"/>
      <c r="C827" s="44" t="n"/>
      <c r="D827" s="45" t="n"/>
      <c r="E827" s="44" t="n"/>
      <c r="F827" s="23">
        <f>IF(B827="","",IFERROR(INDEX(Cat_Tipo,MATCH(B827,Lista_Categorias,0)),"Deseo"))</f>
        <v/>
      </c>
      <c r="G827" s="23">
        <f>IF(A827="","",WEEKNUM(A827,2))</f>
        <v/>
      </c>
      <c r="H827" s="49">
        <f>IF(A827="","",DATE(YEAR(A827),MONTH(A827),1))</f>
        <v/>
      </c>
    </row>
    <row r="828">
      <c r="A828" s="48" t="n"/>
      <c r="B828" s="44" t="n"/>
      <c r="C828" s="44" t="n"/>
      <c r="D828" s="45" t="n"/>
      <c r="E828" s="44" t="n"/>
      <c r="F828" s="23">
        <f>IF(B828="","",IFERROR(INDEX(Cat_Tipo,MATCH(B828,Lista_Categorias,0)),"Deseo"))</f>
        <v/>
      </c>
      <c r="G828" s="23">
        <f>IF(A828="","",WEEKNUM(A828,2))</f>
        <v/>
      </c>
      <c r="H828" s="49">
        <f>IF(A828="","",DATE(YEAR(A828),MONTH(A828),1))</f>
        <v/>
      </c>
    </row>
    <row r="829">
      <c r="A829" s="48" t="n"/>
      <c r="B829" s="44" t="n"/>
      <c r="C829" s="44" t="n"/>
      <c r="D829" s="45" t="n"/>
      <c r="E829" s="44" t="n"/>
      <c r="F829" s="23">
        <f>IF(B829="","",IFERROR(INDEX(Cat_Tipo,MATCH(B829,Lista_Categorias,0)),"Deseo"))</f>
        <v/>
      </c>
      <c r="G829" s="23">
        <f>IF(A829="","",WEEKNUM(A829,2))</f>
        <v/>
      </c>
      <c r="H829" s="49">
        <f>IF(A829="","",DATE(YEAR(A829),MONTH(A829),1))</f>
        <v/>
      </c>
    </row>
    <row r="830">
      <c r="A830" s="48" t="n"/>
      <c r="B830" s="44" t="n"/>
      <c r="C830" s="44" t="n"/>
      <c r="D830" s="45" t="n"/>
      <c r="E830" s="44" t="n"/>
      <c r="F830" s="23">
        <f>IF(B830="","",IFERROR(INDEX(Cat_Tipo,MATCH(B830,Lista_Categorias,0)),"Deseo"))</f>
        <v/>
      </c>
      <c r="G830" s="23">
        <f>IF(A830="","",WEEKNUM(A830,2))</f>
        <v/>
      </c>
      <c r="H830" s="49">
        <f>IF(A830="","",DATE(YEAR(A830),MONTH(A830),1))</f>
        <v/>
      </c>
    </row>
    <row r="831">
      <c r="A831" s="48" t="n"/>
      <c r="B831" s="44" t="n"/>
      <c r="C831" s="44" t="n"/>
      <c r="D831" s="45" t="n"/>
      <c r="E831" s="44" t="n"/>
      <c r="F831" s="23">
        <f>IF(B831="","",IFERROR(INDEX(Cat_Tipo,MATCH(B831,Lista_Categorias,0)),"Deseo"))</f>
        <v/>
      </c>
      <c r="G831" s="23">
        <f>IF(A831="","",WEEKNUM(A831,2))</f>
        <v/>
      </c>
      <c r="H831" s="49">
        <f>IF(A831="","",DATE(YEAR(A831),MONTH(A831),1))</f>
        <v/>
      </c>
    </row>
    <row r="832">
      <c r="A832" s="48" t="n"/>
      <c r="B832" s="44" t="n"/>
      <c r="C832" s="44" t="n"/>
      <c r="D832" s="45" t="n"/>
      <c r="E832" s="44" t="n"/>
      <c r="F832" s="23">
        <f>IF(B832="","",IFERROR(INDEX(Cat_Tipo,MATCH(B832,Lista_Categorias,0)),"Deseo"))</f>
        <v/>
      </c>
      <c r="G832" s="23">
        <f>IF(A832="","",WEEKNUM(A832,2))</f>
        <v/>
      </c>
      <c r="H832" s="49">
        <f>IF(A832="","",DATE(YEAR(A832),MONTH(A832),1))</f>
        <v/>
      </c>
    </row>
    <row r="833">
      <c r="A833" s="48" t="n"/>
      <c r="B833" s="44" t="n"/>
      <c r="C833" s="44" t="n"/>
      <c r="D833" s="45" t="n"/>
      <c r="E833" s="44" t="n"/>
      <c r="F833" s="23">
        <f>IF(B833="","",IFERROR(INDEX(Cat_Tipo,MATCH(B833,Lista_Categorias,0)),"Deseo"))</f>
        <v/>
      </c>
      <c r="G833" s="23">
        <f>IF(A833="","",WEEKNUM(A833,2))</f>
        <v/>
      </c>
      <c r="H833" s="49">
        <f>IF(A833="","",DATE(YEAR(A833),MONTH(A833),1))</f>
        <v/>
      </c>
    </row>
    <row r="834">
      <c r="A834" s="48" t="n"/>
      <c r="B834" s="44" t="n"/>
      <c r="C834" s="44" t="n"/>
      <c r="D834" s="45" t="n"/>
      <c r="E834" s="44" t="n"/>
      <c r="F834" s="23">
        <f>IF(B834="","",IFERROR(INDEX(Cat_Tipo,MATCH(B834,Lista_Categorias,0)),"Deseo"))</f>
        <v/>
      </c>
      <c r="G834" s="23">
        <f>IF(A834="","",WEEKNUM(A834,2))</f>
        <v/>
      </c>
      <c r="H834" s="49">
        <f>IF(A834="","",DATE(YEAR(A834),MONTH(A834),1))</f>
        <v/>
      </c>
    </row>
    <row r="835">
      <c r="A835" s="48" t="n"/>
      <c r="B835" s="44" t="n"/>
      <c r="C835" s="44" t="n"/>
      <c r="D835" s="45" t="n"/>
      <c r="E835" s="44" t="n"/>
      <c r="F835" s="23">
        <f>IF(B835="","",IFERROR(INDEX(Cat_Tipo,MATCH(B835,Lista_Categorias,0)),"Deseo"))</f>
        <v/>
      </c>
      <c r="G835" s="23">
        <f>IF(A835="","",WEEKNUM(A835,2))</f>
        <v/>
      </c>
      <c r="H835" s="49">
        <f>IF(A835="","",DATE(YEAR(A835),MONTH(A835),1))</f>
        <v/>
      </c>
    </row>
    <row r="836">
      <c r="A836" s="48" t="n"/>
      <c r="B836" s="44" t="n"/>
      <c r="C836" s="44" t="n"/>
      <c r="D836" s="45" t="n"/>
      <c r="E836" s="44" t="n"/>
      <c r="F836" s="23">
        <f>IF(B836="","",IFERROR(INDEX(Cat_Tipo,MATCH(B836,Lista_Categorias,0)),"Deseo"))</f>
        <v/>
      </c>
      <c r="G836" s="23">
        <f>IF(A836="","",WEEKNUM(A836,2))</f>
        <v/>
      </c>
      <c r="H836" s="49">
        <f>IF(A836="","",DATE(YEAR(A836),MONTH(A836),1))</f>
        <v/>
      </c>
    </row>
    <row r="837">
      <c r="A837" s="48" t="n"/>
      <c r="B837" s="44" t="n"/>
      <c r="C837" s="44" t="n"/>
      <c r="D837" s="45" t="n"/>
      <c r="E837" s="44" t="n"/>
      <c r="F837" s="23">
        <f>IF(B837="","",IFERROR(INDEX(Cat_Tipo,MATCH(B837,Lista_Categorias,0)),"Deseo"))</f>
        <v/>
      </c>
      <c r="G837" s="23">
        <f>IF(A837="","",WEEKNUM(A837,2))</f>
        <v/>
      </c>
      <c r="H837" s="49">
        <f>IF(A837="","",DATE(YEAR(A837),MONTH(A837),1))</f>
        <v/>
      </c>
    </row>
    <row r="838">
      <c r="A838" s="48" t="n"/>
      <c r="B838" s="44" t="n"/>
      <c r="C838" s="44" t="n"/>
      <c r="D838" s="45" t="n"/>
      <c r="E838" s="44" t="n"/>
      <c r="F838" s="23">
        <f>IF(B838="","",IFERROR(INDEX(Cat_Tipo,MATCH(B838,Lista_Categorias,0)),"Deseo"))</f>
        <v/>
      </c>
      <c r="G838" s="23">
        <f>IF(A838="","",WEEKNUM(A838,2))</f>
        <v/>
      </c>
      <c r="H838" s="49">
        <f>IF(A838="","",DATE(YEAR(A838),MONTH(A838),1))</f>
        <v/>
      </c>
    </row>
    <row r="839">
      <c r="A839" s="48" t="n"/>
      <c r="B839" s="44" t="n"/>
      <c r="C839" s="44" t="n"/>
      <c r="D839" s="45" t="n"/>
      <c r="E839" s="44" t="n"/>
      <c r="F839" s="23">
        <f>IF(B839="","",IFERROR(INDEX(Cat_Tipo,MATCH(B839,Lista_Categorias,0)),"Deseo"))</f>
        <v/>
      </c>
      <c r="G839" s="23">
        <f>IF(A839="","",WEEKNUM(A839,2))</f>
        <v/>
      </c>
      <c r="H839" s="49">
        <f>IF(A839="","",DATE(YEAR(A839),MONTH(A839),1))</f>
        <v/>
      </c>
    </row>
    <row r="840">
      <c r="A840" s="48" t="n"/>
      <c r="B840" s="44" t="n"/>
      <c r="C840" s="44" t="n"/>
      <c r="D840" s="45" t="n"/>
      <c r="E840" s="44" t="n"/>
      <c r="F840" s="23">
        <f>IF(B840="","",IFERROR(INDEX(Cat_Tipo,MATCH(B840,Lista_Categorias,0)),"Deseo"))</f>
        <v/>
      </c>
      <c r="G840" s="23">
        <f>IF(A840="","",WEEKNUM(A840,2))</f>
        <v/>
      </c>
      <c r="H840" s="49">
        <f>IF(A840="","",DATE(YEAR(A840),MONTH(A840),1))</f>
        <v/>
      </c>
    </row>
    <row r="841">
      <c r="A841" s="48" t="n"/>
      <c r="B841" s="44" t="n"/>
      <c r="C841" s="44" t="n"/>
      <c r="D841" s="45" t="n"/>
      <c r="E841" s="44" t="n"/>
      <c r="F841" s="23">
        <f>IF(B841="","",IFERROR(INDEX(Cat_Tipo,MATCH(B841,Lista_Categorias,0)),"Deseo"))</f>
        <v/>
      </c>
      <c r="G841" s="23">
        <f>IF(A841="","",WEEKNUM(A841,2))</f>
        <v/>
      </c>
      <c r="H841" s="49">
        <f>IF(A841="","",DATE(YEAR(A841),MONTH(A841),1))</f>
        <v/>
      </c>
    </row>
    <row r="842">
      <c r="A842" s="48" t="n"/>
      <c r="B842" s="44" t="n"/>
      <c r="C842" s="44" t="n"/>
      <c r="D842" s="45" t="n"/>
      <c r="E842" s="44" t="n"/>
      <c r="F842" s="23">
        <f>IF(B842="","",IFERROR(INDEX(Cat_Tipo,MATCH(B842,Lista_Categorias,0)),"Deseo"))</f>
        <v/>
      </c>
      <c r="G842" s="23">
        <f>IF(A842="","",WEEKNUM(A842,2))</f>
        <v/>
      </c>
      <c r="H842" s="49">
        <f>IF(A842="","",DATE(YEAR(A842),MONTH(A842),1))</f>
        <v/>
      </c>
    </row>
    <row r="843">
      <c r="A843" s="48" t="n"/>
      <c r="B843" s="44" t="n"/>
      <c r="C843" s="44" t="n"/>
      <c r="D843" s="45" t="n"/>
      <c r="E843" s="44" t="n"/>
      <c r="F843" s="23">
        <f>IF(B843="","",IFERROR(INDEX(Cat_Tipo,MATCH(B843,Lista_Categorias,0)),"Deseo"))</f>
        <v/>
      </c>
      <c r="G843" s="23">
        <f>IF(A843="","",WEEKNUM(A843,2))</f>
        <v/>
      </c>
      <c r="H843" s="49">
        <f>IF(A843="","",DATE(YEAR(A843),MONTH(A843),1))</f>
        <v/>
      </c>
    </row>
    <row r="844">
      <c r="A844" s="48" t="n"/>
      <c r="B844" s="44" t="n"/>
      <c r="C844" s="44" t="n"/>
      <c r="D844" s="45" t="n"/>
      <c r="E844" s="44" t="n"/>
      <c r="F844" s="23">
        <f>IF(B844="","",IFERROR(INDEX(Cat_Tipo,MATCH(B844,Lista_Categorias,0)),"Deseo"))</f>
        <v/>
      </c>
      <c r="G844" s="23">
        <f>IF(A844="","",WEEKNUM(A844,2))</f>
        <v/>
      </c>
      <c r="H844" s="49">
        <f>IF(A844="","",DATE(YEAR(A844),MONTH(A844),1))</f>
        <v/>
      </c>
    </row>
    <row r="845">
      <c r="A845" s="48" t="n"/>
      <c r="B845" s="44" t="n"/>
      <c r="C845" s="44" t="n"/>
      <c r="D845" s="45" t="n"/>
      <c r="E845" s="44" t="n"/>
      <c r="F845" s="23">
        <f>IF(B845="","",IFERROR(INDEX(Cat_Tipo,MATCH(B845,Lista_Categorias,0)),"Deseo"))</f>
        <v/>
      </c>
      <c r="G845" s="23">
        <f>IF(A845="","",WEEKNUM(A845,2))</f>
        <v/>
      </c>
      <c r="H845" s="49">
        <f>IF(A845="","",DATE(YEAR(A845),MONTH(A845),1))</f>
        <v/>
      </c>
    </row>
    <row r="846">
      <c r="A846" s="48" t="n"/>
      <c r="B846" s="44" t="n"/>
      <c r="C846" s="44" t="n"/>
      <c r="D846" s="45" t="n"/>
      <c r="E846" s="44" t="n"/>
      <c r="F846" s="23">
        <f>IF(B846="","",IFERROR(INDEX(Cat_Tipo,MATCH(B846,Lista_Categorias,0)),"Deseo"))</f>
        <v/>
      </c>
      <c r="G846" s="23">
        <f>IF(A846="","",WEEKNUM(A846,2))</f>
        <v/>
      </c>
      <c r="H846" s="49">
        <f>IF(A846="","",DATE(YEAR(A846),MONTH(A846),1))</f>
        <v/>
      </c>
    </row>
    <row r="847">
      <c r="A847" s="48" t="n"/>
      <c r="B847" s="44" t="n"/>
      <c r="C847" s="44" t="n"/>
      <c r="D847" s="45" t="n"/>
      <c r="E847" s="44" t="n"/>
      <c r="F847" s="23">
        <f>IF(B847="","",IFERROR(INDEX(Cat_Tipo,MATCH(B847,Lista_Categorias,0)),"Deseo"))</f>
        <v/>
      </c>
      <c r="G847" s="23">
        <f>IF(A847="","",WEEKNUM(A847,2))</f>
        <v/>
      </c>
      <c r="H847" s="49">
        <f>IF(A847="","",DATE(YEAR(A847),MONTH(A847),1))</f>
        <v/>
      </c>
    </row>
    <row r="848">
      <c r="A848" s="48" t="n"/>
      <c r="B848" s="44" t="n"/>
      <c r="C848" s="44" t="n"/>
      <c r="D848" s="45" t="n"/>
      <c r="E848" s="44" t="n"/>
      <c r="F848" s="23">
        <f>IF(B848="","",IFERROR(INDEX(Cat_Tipo,MATCH(B848,Lista_Categorias,0)),"Deseo"))</f>
        <v/>
      </c>
      <c r="G848" s="23">
        <f>IF(A848="","",WEEKNUM(A848,2))</f>
        <v/>
      </c>
      <c r="H848" s="49">
        <f>IF(A848="","",DATE(YEAR(A848),MONTH(A848),1))</f>
        <v/>
      </c>
    </row>
    <row r="849">
      <c r="A849" s="48" t="n"/>
      <c r="B849" s="44" t="n"/>
      <c r="C849" s="44" t="n"/>
      <c r="D849" s="45" t="n"/>
      <c r="E849" s="44" t="n"/>
      <c r="F849" s="23">
        <f>IF(B849="","",IFERROR(INDEX(Cat_Tipo,MATCH(B849,Lista_Categorias,0)),"Deseo"))</f>
        <v/>
      </c>
      <c r="G849" s="23">
        <f>IF(A849="","",WEEKNUM(A849,2))</f>
        <v/>
      </c>
      <c r="H849" s="49">
        <f>IF(A849="","",DATE(YEAR(A849),MONTH(A849),1))</f>
        <v/>
      </c>
    </row>
    <row r="850">
      <c r="A850" s="48" t="n"/>
      <c r="B850" s="44" t="n"/>
      <c r="C850" s="44" t="n"/>
      <c r="D850" s="45" t="n"/>
      <c r="E850" s="44" t="n"/>
      <c r="F850" s="23">
        <f>IF(B850="","",IFERROR(INDEX(Cat_Tipo,MATCH(B850,Lista_Categorias,0)),"Deseo"))</f>
        <v/>
      </c>
      <c r="G850" s="23">
        <f>IF(A850="","",WEEKNUM(A850,2))</f>
        <v/>
      </c>
      <c r="H850" s="49">
        <f>IF(A850="","",DATE(YEAR(A850),MONTH(A850),1))</f>
        <v/>
      </c>
    </row>
    <row r="851">
      <c r="A851" s="48" t="n"/>
      <c r="B851" s="44" t="n"/>
      <c r="C851" s="44" t="n"/>
      <c r="D851" s="45" t="n"/>
      <c r="E851" s="44" t="n"/>
      <c r="F851" s="23">
        <f>IF(B851="","",IFERROR(INDEX(Cat_Tipo,MATCH(B851,Lista_Categorias,0)),"Deseo"))</f>
        <v/>
      </c>
      <c r="G851" s="23">
        <f>IF(A851="","",WEEKNUM(A851,2))</f>
        <v/>
      </c>
      <c r="H851" s="49">
        <f>IF(A851="","",DATE(YEAR(A851),MONTH(A851),1))</f>
        <v/>
      </c>
    </row>
    <row r="852">
      <c r="A852" s="48" t="n"/>
      <c r="B852" s="44" t="n"/>
      <c r="C852" s="44" t="n"/>
      <c r="D852" s="45" t="n"/>
      <c r="E852" s="44" t="n"/>
      <c r="F852" s="23">
        <f>IF(B852="","",IFERROR(INDEX(Cat_Tipo,MATCH(B852,Lista_Categorias,0)),"Deseo"))</f>
        <v/>
      </c>
      <c r="G852" s="23">
        <f>IF(A852="","",WEEKNUM(A852,2))</f>
        <v/>
      </c>
      <c r="H852" s="49">
        <f>IF(A852="","",DATE(YEAR(A852),MONTH(A852),1))</f>
        <v/>
      </c>
    </row>
    <row r="853">
      <c r="A853" s="48" t="n"/>
      <c r="B853" s="44" t="n"/>
      <c r="C853" s="44" t="n"/>
      <c r="D853" s="45" t="n"/>
      <c r="E853" s="44" t="n"/>
      <c r="F853" s="23">
        <f>IF(B853="","",IFERROR(INDEX(Cat_Tipo,MATCH(B853,Lista_Categorias,0)),"Deseo"))</f>
        <v/>
      </c>
      <c r="G853" s="23">
        <f>IF(A853="","",WEEKNUM(A853,2))</f>
        <v/>
      </c>
      <c r="H853" s="49">
        <f>IF(A853="","",DATE(YEAR(A853),MONTH(A853),1))</f>
        <v/>
      </c>
    </row>
    <row r="854">
      <c r="A854" s="48" t="n"/>
      <c r="B854" s="44" t="n"/>
      <c r="C854" s="44" t="n"/>
      <c r="D854" s="45" t="n"/>
      <c r="E854" s="44" t="n"/>
      <c r="F854" s="23">
        <f>IF(B854="","",IFERROR(INDEX(Cat_Tipo,MATCH(B854,Lista_Categorias,0)),"Deseo"))</f>
        <v/>
      </c>
      <c r="G854" s="23">
        <f>IF(A854="","",WEEKNUM(A854,2))</f>
        <v/>
      </c>
      <c r="H854" s="49">
        <f>IF(A854="","",DATE(YEAR(A854),MONTH(A854),1))</f>
        <v/>
      </c>
    </row>
    <row r="855">
      <c r="A855" s="48" t="n"/>
      <c r="B855" s="44" t="n"/>
      <c r="C855" s="44" t="n"/>
      <c r="D855" s="45" t="n"/>
      <c r="E855" s="44" t="n"/>
      <c r="F855" s="23">
        <f>IF(B855="","",IFERROR(INDEX(Cat_Tipo,MATCH(B855,Lista_Categorias,0)),"Deseo"))</f>
        <v/>
      </c>
      <c r="G855" s="23">
        <f>IF(A855="","",WEEKNUM(A855,2))</f>
        <v/>
      </c>
      <c r="H855" s="49">
        <f>IF(A855="","",DATE(YEAR(A855),MONTH(A855),1))</f>
        <v/>
      </c>
    </row>
    <row r="856">
      <c r="A856" s="48" t="n"/>
      <c r="B856" s="44" t="n"/>
      <c r="C856" s="44" t="n"/>
      <c r="D856" s="45" t="n"/>
      <c r="E856" s="44" t="n"/>
      <c r="F856" s="23">
        <f>IF(B856="","",IFERROR(INDEX(Cat_Tipo,MATCH(B856,Lista_Categorias,0)),"Deseo"))</f>
        <v/>
      </c>
      <c r="G856" s="23">
        <f>IF(A856="","",WEEKNUM(A856,2))</f>
        <v/>
      </c>
      <c r="H856" s="49">
        <f>IF(A856="","",DATE(YEAR(A856),MONTH(A856),1))</f>
        <v/>
      </c>
    </row>
    <row r="857">
      <c r="A857" s="48" t="n"/>
      <c r="B857" s="44" t="n"/>
      <c r="C857" s="44" t="n"/>
      <c r="D857" s="45" t="n"/>
      <c r="E857" s="44" t="n"/>
      <c r="F857" s="23">
        <f>IF(B857="","",IFERROR(INDEX(Cat_Tipo,MATCH(B857,Lista_Categorias,0)),"Deseo"))</f>
        <v/>
      </c>
      <c r="G857" s="23">
        <f>IF(A857="","",WEEKNUM(A857,2))</f>
        <v/>
      </c>
      <c r="H857" s="49">
        <f>IF(A857="","",DATE(YEAR(A857),MONTH(A857),1))</f>
        <v/>
      </c>
    </row>
    <row r="858">
      <c r="A858" s="48" t="n"/>
      <c r="B858" s="44" t="n"/>
      <c r="C858" s="44" t="n"/>
      <c r="D858" s="45" t="n"/>
      <c r="E858" s="44" t="n"/>
      <c r="F858" s="23">
        <f>IF(B858="","",IFERROR(INDEX(Cat_Tipo,MATCH(B858,Lista_Categorias,0)),"Deseo"))</f>
        <v/>
      </c>
      <c r="G858" s="23">
        <f>IF(A858="","",WEEKNUM(A858,2))</f>
        <v/>
      </c>
      <c r="H858" s="49">
        <f>IF(A858="","",DATE(YEAR(A858),MONTH(A858),1))</f>
        <v/>
      </c>
    </row>
    <row r="859">
      <c r="A859" s="48" t="n"/>
      <c r="B859" s="44" t="n"/>
      <c r="C859" s="44" t="n"/>
      <c r="D859" s="45" t="n"/>
      <c r="E859" s="44" t="n"/>
      <c r="F859" s="23">
        <f>IF(B859="","",IFERROR(INDEX(Cat_Tipo,MATCH(B859,Lista_Categorias,0)),"Deseo"))</f>
        <v/>
      </c>
      <c r="G859" s="23">
        <f>IF(A859="","",WEEKNUM(A859,2))</f>
        <v/>
      </c>
      <c r="H859" s="49">
        <f>IF(A859="","",DATE(YEAR(A859),MONTH(A859),1))</f>
        <v/>
      </c>
    </row>
    <row r="860">
      <c r="A860" s="48" t="n"/>
      <c r="B860" s="44" t="n"/>
      <c r="C860" s="44" t="n"/>
      <c r="D860" s="45" t="n"/>
      <c r="E860" s="44" t="n"/>
      <c r="F860" s="23">
        <f>IF(B860="","",IFERROR(INDEX(Cat_Tipo,MATCH(B860,Lista_Categorias,0)),"Deseo"))</f>
        <v/>
      </c>
      <c r="G860" s="23">
        <f>IF(A860="","",WEEKNUM(A860,2))</f>
        <v/>
      </c>
      <c r="H860" s="49">
        <f>IF(A860="","",DATE(YEAR(A860),MONTH(A860),1))</f>
        <v/>
      </c>
    </row>
    <row r="861">
      <c r="A861" s="48" t="n"/>
      <c r="B861" s="44" t="n"/>
      <c r="C861" s="44" t="n"/>
      <c r="D861" s="45" t="n"/>
      <c r="E861" s="44" t="n"/>
      <c r="F861" s="23">
        <f>IF(B861="","",IFERROR(INDEX(Cat_Tipo,MATCH(B861,Lista_Categorias,0)),"Deseo"))</f>
        <v/>
      </c>
      <c r="G861" s="23">
        <f>IF(A861="","",WEEKNUM(A861,2))</f>
        <v/>
      </c>
      <c r="H861" s="49">
        <f>IF(A861="","",DATE(YEAR(A861),MONTH(A861),1))</f>
        <v/>
      </c>
    </row>
    <row r="862">
      <c r="A862" s="48" t="n"/>
      <c r="B862" s="44" t="n"/>
      <c r="C862" s="44" t="n"/>
      <c r="D862" s="45" t="n"/>
      <c r="E862" s="44" t="n"/>
      <c r="F862" s="23">
        <f>IF(B862="","",IFERROR(INDEX(Cat_Tipo,MATCH(B862,Lista_Categorias,0)),"Deseo"))</f>
        <v/>
      </c>
      <c r="G862" s="23">
        <f>IF(A862="","",WEEKNUM(A862,2))</f>
        <v/>
      </c>
      <c r="H862" s="49">
        <f>IF(A862="","",DATE(YEAR(A862),MONTH(A862),1))</f>
        <v/>
      </c>
    </row>
    <row r="863">
      <c r="A863" s="48" t="n"/>
      <c r="B863" s="44" t="n"/>
      <c r="C863" s="44" t="n"/>
      <c r="D863" s="45" t="n"/>
      <c r="E863" s="44" t="n"/>
      <c r="F863" s="23">
        <f>IF(B863="","",IFERROR(INDEX(Cat_Tipo,MATCH(B863,Lista_Categorias,0)),"Deseo"))</f>
        <v/>
      </c>
      <c r="G863" s="23">
        <f>IF(A863="","",WEEKNUM(A863,2))</f>
        <v/>
      </c>
      <c r="H863" s="49">
        <f>IF(A863="","",DATE(YEAR(A863),MONTH(A863),1))</f>
        <v/>
      </c>
    </row>
    <row r="864">
      <c r="A864" s="48" t="n"/>
      <c r="B864" s="44" t="n"/>
      <c r="C864" s="44" t="n"/>
      <c r="D864" s="45" t="n"/>
      <c r="E864" s="44" t="n"/>
      <c r="F864" s="23">
        <f>IF(B864="","",IFERROR(INDEX(Cat_Tipo,MATCH(B864,Lista_Categorias,0)),"Deseo"))</f>
        <v/>
      </c>
      <c r="G864" s="23">
        <f>IF(A864="","",WEEKNUM(A864,2))</f>
        <v/>
      </c>
      <c r="H864" s="49">
        <f>IF(A864="","",DATE(YEAR(A864),MONTH(A864),1))</f>
        <v/>
      </c>
    </row>
    <row r="865">
      <c r="A865" s="48" t="n"/>
      <c r="B865" s="44" t="n"/>
      <c r="C865" s="44" t="n"/>
      <c r="D865" s="45" t="n"/>
      <c r="E865" s="44" t="n"/>
      <c r="F865" s="23">
        <f>IF(B865="","",IFERROR(INDEX(Cat_Tipo,MATCH(B865,Lista_Categorias,0)),"Deseo"))</f>
        <v/>
      </c>
      <c r="G865" s="23">
        <f>IF(A865="","",WEEKNUM(A865,2))</f>
        <v/>
      </c>
      <c r="H865" s="49">
        <f>IF(A865="","",DATE(YEAR(A865),MONTH(A865),1))</f>
        <v/>
      </c>
    </row>
    <row r="866">
      <c r="A866" s="48" t="n"/>
      <c r="B866" s="44" t="n"/>
      <c r="C866" s="44" t="n"/>
      <c r="D866" s="45" t="n"/>
      <c r="E866" s="44" t="n"/>
      <c r="F866" s="23">
        <f>IF(B866="","",IFERROR(INDEX(Cat_Tipo,MATCH(B866,Lista_Categorias,0)),"Deseo"))</f>
        <v/>
      </c>
      <c r="G866" s="23">
        <f>IF(A866="","",WEEKNUM(A866,2))</f>
        <v/>
      </c>
      <c r="H866" s="49">
        <f>IF(A866="","",DATE(YEAR(A866),MONTH(A866),1))</f>
        <v/>
      </c>
    </row>
    <row r="867">
      <c r="A867" s="48" t="n"/>
      <c r="B867" s="44" t="n"/>
      <c r="C867" s="44" t="n"/>
      <c r="D867" s="45" t="n"/>
      <c r="E867" s="44" t="n"/>
      <c r="F867" s="23">
        <f>IF(B867="","",IFERROR(INDEX(Cat_Tipo,MATCH(B867,Lista_Categorias,0)),"Deseo"))</f>
        <v/>
      </c>
      <c r="G867" s="23">
        <f>IF(A867="","",WEEKNUM(A867,2))</f>
        <v/>
      </c>
      <c r="H867" s="49">
        <f>IF(A867="","",DATE(YEAR(A867),MONTH(A867),1))</f>
        <v/>
      </c>
    </row>
    <row r="868">
      <c r="A868" s="48" t="n"/>
      <c r="B868" s="44" t="n"/>
      <c r="C868" s="44" t="n"/>
      <c r="D868" s="45" t="n"/>
      <c r="E868" s="44" t="n"/>
      <c r="F868" s="23">
        <f>IF(B868="","",IFERROR(INDEX(Cat_Tipo,MATCH(B868,Lista_Categorias,0)),"Deseo"))</f>
        <v/>
      </c>
      <c r="G868" s="23">
        <f>IF(A868="","",WEEKNUM(A868,2))</f>
        <v/>
      </c>
      <c r="H868" s="49">
        <f>IF(A868="","",DATE(YEAR(A868),MONTH(A868),1))</f>
        <v/>
      </c>
    </row>
    <row r="869">
      <c r="A869" s="48" t="n"/>
      <c r="B869" s="44" t="n"/>
      <c r="C869" s="44" t="n"/>
      <c r="D869" s="45" t="n"/>
      <c r="E869" s="44" t="n"/>
      <c r="F869" s="23">
        <f>IF(B869="","",IFERROR(INDEX(Cat_Tipo,MATCH(B869,Lista_Categorias,0)),"Deseo"))</f>
        <v/>
      </c>
      <c r="G869" s="23">
        <f>IF(A869="","",WEEKNUM(A869,2))</f>
        <v/>
      </c>
      <c r="H869" s="49">
        <f>IF(A869="","",DATE(YEAR(A869),MONTH(A869),1))</f>
        <v/>
      </c>
    </row>
    <row r="870">
      <c r="A870" s="48" t="n"/>
      <c r="B870" s="44" t="n"/>
      <c r="C870" s="44" t="n"/>
      <c r="D870" s="45" t="n"/>
      <c r="E870" s="44" t="n"/>
      <c r="F870" s="23">
        <f>IF(B870="","",IFERROR(INDEX(Cat_Tipo,MATCH(B870,Lista_Categorias,0)),"Deseo"))</f>
        <v/>
      </c>
      <c r="G870" s="23">
        <f>IF(A870="","",WEEKNUM(A870,2))</f>
        <v/>
      </c>
      <c r="H870" s="49">
        <f>IF(A870="","",DATE(YEAR(A870),MONTH(A870),1))</f>
        <v/>
      </c>
    </row>
    <row r="871">
      <c r="A871" s="48" t="n"/>
      <c r="B871" s="44" t="n"/>
      <c r="C871" s="44" t="n"/>
      <c r="D871" s="45" t="n"/>
      <c r="E871" s="44" t="n"/>
      <c r="F871" s="23">
        <f>IF(B871="","",IFERROR(INDEX(Cat_Tipo,MATCH(B871,Lista_Categorias,0)),"Deseo"))</f>
        <v/>
      </c>
      <c r="G871" s="23">
        <f>IF(A871="","",WEEKNUM(A871,2))</f>
        <v/>
      </c>
      <c r="H871" s="49">
        <f>IF(A871="","",DATE(YEAR(A871),MONTH(A871),1))</f>
        <v/>
      </c>
    </row>
    <row r="872">
      <c r="A872" s="48" t="n"/>
      <c r="B872" s="44" t="n"/>
      <c r="C872" s="44" t="n"/>
      <c r="D872" s="45" t="n"/>
      <c r="E872" s="44" t="n"/>
      <c r="F872" s="23">
        <f>IF(B872="","",IFERROR(INDEX(Cat_Tipo,MATCH(B872,Lista_Categorias,0)),"Deseo"))</f>
        <v/>
      </c>
      <c r="G872" s="23">
        <f>IF(A872="","",WEEKNUM(A872,2))</f>
        <v/>
      </c>
      <c r="H872" s="49">
        <f>IF(A872="","",DATE(YEAR(A872),MONTH(A872),1))</f>
        <v/>
      </c>
    </row>
    <row r="873">
      <c r="A873" s="48" t="n"/>
      <c r="B873" s="44" t="n"/>
      <c r="C873" s="44" t="n"/>
      <c r="D873" s="45" t="n"/>
      <c r="E873" s="44" t="n"/>
      <c r="F873" s="23">
        <f>IF(B873="","",IFERROR(INDEX(Cat_Tipo,MATCH(B873,Lista_Categorias,0)),"Deseo"))</f>
        <v/>
      </c>
      <c r="G873" s="23">
        <f>IF(A873="","",WEEKNUM(A873,2))</f>
        <v/>
      </c>
      <c r="H873" s="49">
        <f>IF(A873="","",DATE(YEAR(A873),MONTH(A873),1))</f>
        <v/>
      </c>
    </row>
    <row r="874">
      <c r="A874" s="48" t="n"/>
      <c r="B874" s="44" t="n"/>
      <c r="C874" s="44" t="n"/>
      <c r="D874" s="45" t="n"/>
      <c r="E874" s="44" t="n"/>
      <c r="F874" s="23">
        <f>IF(B874="","",IFERROR(INDEX(Cat_Tipo,MATCH(B874,Lista_Categorias,0)),"Deseo"))</f>
        <v/>
      </c>
      <c r="G874" s="23">
        <f>IF(A874="","",WEEKNUM(A874,2))</f>
        <v/>
      </c>
      <c r="H874" s="49">
        <f>IF(A874="","",DATE(YEAR(A874),MONTH(A874),1))</f>
        <v/>
      </c>
    </row>
    <row r="875">
      <c r="A875" s="48" t="n"/>
      <c r="B875" s="44" t="n"/>
      <c r="C875" s="44" t="n"/>
      <c r="D875" s="45" t="n"/>
      <c r="E875" s="44" t="n"/>
      <c r="F875" s="23">
        <f>IF(B875="","",IFERROR(INDEX(Cat_Tipo,MATCH(B875,Lista_Categorias,0)),"Deseo"))</f>
        <v/>
      </c>
      <c r="G875" s="23">
        <f>IF(A875="","",WEEKNUM(A875,2))</f>
        <v/>
      </c>
      <c r="H875" s="49">
        <f>IF(A875="","",DATE(YEAR(A875),MONTH(A875),1))</f>
        <v/>
      </c>
    </row>
    <row r="876">
      <c r="A876" s="48" t="n"/>
      <c r="B876" s="44" t="n"/>
      <c r="C876" s="44" t="n"/>
      <c r="D876" s="45" t="n"/>
      <c r="E876" s="44" t="n"/>
      <c r="F876" s="23">
        <f>IF(B876="","",IFERROR(INDEX(Cat_Tipo,MATCH(B876,Lista_Categorias,0)),"Deseo"))</f>
        <v/>
      </c>
      <c r="G876" s="23">
        <f>IF(A876="","",WEEKNUM(A876,2))</f>
        <v/>
      </c>
      <c r="H876" s="49">
        <f>IF(A876="","",DATE(YEAR(A876),MONTH(A876),1))</f>
        <v/>
      </c>
    </row>
    <row r="877">
      <c r="A877" s="48" t="n"/>
      <c r="B877" s="44" t="n"/>
      <c r="C877" s="44" t="n"/>
      <c r="D877" s="45" t="n"/>
      <c r="E877" s="44" t="n"/>
      <c r="F877" s="23">
        <f>IF(B877="","",IFERROR(INDEX(Cat_Tipo,MATCH(B877,Lista_Categorias,0)),"Deseo"))</f>
        <v/>
      </c>
      <c r="G877" s="23">
        <f>IF(A877="","",WEEKNUM(A877,2))</f>
        <v/>
      </c>
      <c r="H877" s="49">
        <f>IF(A877="","",DATE(YEAR(A877),MONTH(A877),1))</f>
        <v/>
      </c>
    </row>
    <row r="878">
      <c r="A878" s="48" t="n"/>
      <c r="B878" s="44" t="n"/>
      <c r="C878" s="44" t="n"/>
      <c r="D878" s="45" t="n"/>
      <c r="E878" s="44" t="n"/>
      <c r="F878" s="23">
        <f>IF(B878="","",IFERROR(INDEX(Cat_Tipo,MATCH(B878,Lista_Categorias,0)),"Deseo"))</f>
        <v/>
      </c>
      <c r="G878" s="23">
        <f>IF(A878="","",WEEKNUM(A878,2))</f>
        <v/>
      </c>
      <c r="H878" s="49">
        <f>IF(A878="","",DATE(YEAR(A878),MONTH(A878),1))</f>
        <v/>
      </c>
    </row>
    <row r="879">
      <c r="A879" s="48" t="n"/>
      <c r="B879" s="44" t="n"/>
      <c r="C879" s="44" t="n"/>
      <c r="D879" s="45" t="n"/>
      <c r="E879" s="44" t="n"/>
      <c r="F879" s="23">
        <f>IF(B879="","",IFERROR(INDEX(Cat_Tipo,MATCH(B879,Lista_Categorias,0)),"Deseo"))</f>
        <v/>
      </c>
      <c r="G879" s="23">
        <f>IF(A879="","",WEEKNUM(A879,2))</f>
        <v/>
      </c>
      <c r="H879" s="49">
        <f>IF(A879="","",DATE(YEAR(A879),MONTH(A879),1))</f>
        <v/>
      </c>
    </row>
    <row r="880">
      <c r="A880" s="48" t="n"/>
      <c r="B880" s="44" t="n"/>
      <c r="C880" s="44" t="n"/>
      <c r="D880" s="45" t="n"/>
      <c r="E880" s="44" t="n"/>
      <c r="F880" s="23">
        <f>IF(B880="","",IFERROR(INDEX(Cat_Tipo,MATCH(B880,Lista_Categorias,0)),"Deseo"))</f>
        <v/>
      </c>
      <c r="G880" s="23">
        <f>IF(A880="","",WEEKNUM(A880,2))</f>
        <v/>
      </c>
      <c r="H880" s="49">
        <f>IF(A880="","",DATE(YEAR(A880),MONTH(A880),1))</f>
        <v/>
      </c>
    </row>
    <row r="881">
      <c r="A881" s="48" t="n"/>
      <c r="B881" s="44" t="n"/>
      <c r="C881" s="44" t="n"/>
      <c r="D881" s="45" t="n"/>
      <c r="E881" s="44" t="n"/>
      <c r="F881" s="23">
        <f>IF(B881="","",IFERROR(INDEX(Cat_Tipo,MATCH(B881,Lista_Categorias,0)),"Deseo"))</f>
        <v/>
      </c>
      <c r="G881" s="23">
        <f>IF(A881="","",WEEKNUM(A881,2))</f>
        <v/>
      </c>
      <c r="H881" s="49">
        <f>IF(A881="","",DATE(YEAR(A881),MONTH(A881),1))</f>
        <v/>
      </c>
    </row>
    <row r="882">
      <c r="A882" s="48" t="n"/>
      <c r="B882" s="44" t="n"/>
      <c r="C882" s="44" t="n"/>
      <c r="D882" s="45" t="n"/>
      <c r="E882" s="44" t="n"/>
      <c r="F882" s="23">
        <f>IF(B882="","",IFERROR(INDEX(Cat_Tipo,MATCH(B882,Lista_Categorias,0)),"Deseo"))</f>
        <v/>
      </c>
      <c r="G882" s="23">
        <f>IF(A882="","",WEEKNUM(A882,2))</f>
        <v/>
      </c>
      <c r="H882" s="49">
        <f>IF(A882="","",DATE(YEAR(A882),MONTH(A882),1))</f>
        <v/>
      </c>
    </row>
    <row r="883">
      <c r="A883" s="48" t="n"/>
      <c r="B883" s="44" t="n"/>
      <c r="C883" s="44" t="n"/>
      <c r="D883" s="45" t="n"/>
      <c r="E883" s="44" t="n"/>
      <c r="F883" s="23">
        <f>IF(B883="","",IFERROR(INDEX(Cat_Tipo,MATCH(B883,Lista_Categorias,0)),"Deseo"))</f>
        <v/>
      </c>
      <c r="G883" s="23">
        <f>IF(A883="","",WEEKNUM(A883,2))</f>
        <v/>
      </c>
      <c r="H883" s="49">
        <f>IF(A883="","",DATE(YEAR(A883),MONTH(A883),1))</f>
        <v/>
      </c>
    </row>
    <row r="884">
      <c r="A884" s="48" t="n"/>
      <c r="B884" s="44" t="n"/>
      <c r="C884" s="44" t="n"/>
      <c r="D884" s="45" t="n"/>
      <c r="E884" s="44" t="n"/>
      <c r="F884" s="23">
        <f>IF(B884="","",IFERROR(INDEX(Cat_Tipo,MATCH(B884,Lista_Categorias,0)),"Deseo"))</f>
        <v/>
      </c>
      <c r="G884" s="23">
        <f>IF(A884="","",WEEKNUM(A884,2))</f>
        <v/>
      </c>
      <c r="H884" s="49">
        <f>IF(A884="","",DATE(YEAR(A884),MONTH(A884),1))</f>
        <v/>
      </c>
    </row>
    <row r="885">
      <c r="A885" s="48" t="n"/>
      <c r="B885" s="44" t="n"/>
      <c r="C885" s="44" t="n"/>
      <c r="D885" s="45" t="n"/>
      <c r="E885" s="44" t="n"/>
      <c r="F885" s="23">
        <f>IF(B885="","",IFERROR(INDEX(Cat_Tipo,MATCH(B885,Lista_Categorias,0)),"Deseo"))</f>
        <v/>
      </c>
      <c r="G885" s="23">
        <f>IF(A885="","",WEEKNUM(A885,2))</f>
        <v/>
      </c>
      <c r="H885" s="49">
        <f>IF(A885="","",DATE(YEAR(A885),MONTH(A885),1))</f>
        <v/>
      </c>
    </row>
    <row r="886">
      <c r="A886" s="48" t="n"/>
      <c r="B886" s="44" t="n"/>
      <c r="C886" s="44" t="n"/>
      <c r="D886" s="45" t="n"/>
      <c r="E886" s="44" t="n"/>
      <c r="F886" s="23">
        <f>IF(B886="","",IFERROR(INDEX(Cat_Tipo,MATCH(B886,Lista_Categorias,0)),"Deseo"))</f>
        <v/>
      </c>
      <c r="G886" s="23">
        <f>IF(A886="","",WEEKNUM(A886,2))</f>
        <v/>
      </c>
      <c r="H886" s="49">
        <f>IF(A886="","",DATE(YEAR(A886),MONTH(A886),1))</f>
        <v/>
      </c>
    </row>
    <row r="887">
      <c r="A887" s="48" t="n"/>
      <c r="B887" s="44" t="n"/>
      <c r="C887" s="44" t="n"/>
      <c r="D887" s="45" t="n"/>
      <c r="E887" s="44" t="n"/>
      <c r="F887" s="23">
        <f>IF(B887="","",IFERROR(INDEX(Cat_Tipo,MATCH(B887,Lista_Categorias,0)),"Deseo"))</f>
        <v/>
      </c>
      <c r="G887" s="23">
        <f>IF(A887="","",WEEKNUM(A887,2))</f>
        <v/>
      </c>
      <c r="H887" s="49">
        <f>IF(A887="","",DATE(YEAR(A887),MONTH(A887),1))</f>
        <v/>
      </c>
    </row>
    <row r="888">
      <c r="A888" s="48" t="n"/>
      <c r="B888" s="44" t="n"/>
      <c r="C888" s="44" t="n"/>
      <c r="D888" s="45" t="n"/>
      <c r="E888" s="44" t="n"/>
      <c r="F888" s="23">
        <f>IF(B888="","",IFERROR(INDEX(Cat_Tipo,MATCH(B888,Lista_Categorias,0)),"Deseo"))</f>
        <v/>
      </c>
      <c r="G888" s="23">
        <f>IF(A888="","",WEEKNUM(A888,2))</f>
        <v/>
      </c>
      <c r="H888" s="49">
        <f>IF(A888="","",DATE(YEAR(A888),MONTH(A888),1))</f>
        <v/>
      </c>
    </row>
    <row r="889">
      <c r="A889" s="48" t="n"/>
      <c r="B889" s="44" t="n"/>
      <c r="C889" s="44" t="n"/>
      <c r="D889" s="45" t="n"/>
      <c r="E889" s="44" t="n"/>
      <c r="F889" s="23">
        <f>IF(B889="","",IFERROR(INDEX(Cat_Tipo,MATCH(B889,Lista_Categorias,0)),"Deseo"))</f>
        <v/>
      </c>
      <c r="G889" s="23">
        <f>IF(A889="","",WEEKNUM(A889,2))</f>
        <v/>
      </c>
      <c r="H889" s="49">
        <f>IF(A889="","",DATE(YEAR(A889),MONTH(A889),1))</f>
        <v/>
      </c>
    </row>
    <row r="890">
      <c r="A890" s="48" t="n"/>
      <c r="B890" s="44" t="n"/>
      <c r="C890" s="44" t="n"/>
      <c r="D890" s="45" t="n"/>
      <c r="E890" s="44" t="n"/>
      <c r="F890" s="23">
        <f>IF(B890="","",IFERROR(INDEX(Cat_Tipo,MATCH(B890,Lista_Categorias,0)),"Deseo"))</f>
        <v/>
      </c>
      <c r="G890" s="23">
        <f>IF(A890="","",WEEKNUM(A890,2))</f>
        <v/>
      </c>
      <c r="H890" s="49">
        <f>IF(A890="","",DATE(YEAR(A890),MONTH(A890),1))</f>
        <v/>
      </c>
    </row>
    <row r="891">
      <c r="A891" s="48" t="n"/>
      <c r="B891" s="44" t="n"/>
      <c r="C891" s="44" t="n"/>
      <c r="D891" s="45" t="n"/>
      <c r="E891" s="44" t="n"/>
      <c r="F891" s="23">
        <f>IF(B891="","",IFERROR(INDEX(Cat_Tipo,MATCH(B891,Lista_Categorias,0)),"Deseo"))</f>
        <v/>
      </c>
      <c r="G891" s="23">
        <f>IF(A891="","",WEEKNUM(A891,2))</f>
        <v/>
      </c>
      <c r="H891" s="49">
        <f>IF(A891="","",DATE(YEAR(A891),MONTH(A891),1))</f>
        <v/>
      </c>
    </row>
    <row r="892">
      <c r="A892" s="48" t="n"/>
      <c r="B892" s="44" t="n"/>
      <c r="C892" s="44" t="n"/>
      <c r="D892" s="45" t="n"/>
      <c r="E892" s="44" t="n"/>
      <c r="F892" s="23">
        <f>IF(B892="","",IFERROR(INDEX(Cat_Tipo,MATCH(B892,Lista_Categorias,0)),"Deseo"))</f>
        <v/>
      </c>
      <c r="G892" s="23">
        <f>IF(A892="","",WEEKNUM(A892,2))</f>
        <v/>
      </c>
      <c r="H892" s="49">
        <f>IF(A892="","",DATE(YEAR(A892),MONTH(A892),1))</f>
        <v/>
      </c>
    </row>
    <row r="893">
      <c r="A893" s="48" t="n"/>
      <c r="B893" s="44" t="n"/>
      <c r="C893" s="44" t="n"/>
      <c r="D893" s="45" t="n"/>
      <c r="E893" s="44" t="n"/>
      <c r="F893" s="23">
        <f>IF(B893="","",IFERROR(INDEX(Cat_Tipo,MATCH(B893,Lista_Categorias,0)),"Deseo"))</f>
        <v/>
      </c>
      <c r="G893" s="23">
        <f>IF(A893="","",WEEKNUM(A893,2))</f>
        <v/>
      </c>
      <c r="H893" s="49">
        <f>IF(A893="","",DATE(YEAR(A893),MONTH(A893),1))</f>
        <v/>
      </c>
    </row>
    <row r="894">
      <c r="A894" s="48" t="n"/>
      <c r="B894" s="44" t="n"/>
      <c r="C894" s="44" t="n"/>
      <c r="D894" s="45" t="n"/>
      <c r="E894" s="44" t="n"/>
      <c r="F894" s="23">
        <f>IF(B894="","",IFERROR(INDEX(Cat_Tipo,MATCH(B894,Lista_Categorias,0)),"Deseo"))</f>
        <v/>
      </c>
      <c r="G894" s="23">
        <f>IF(A894="","",WEEKNUM(A894,2))</f>
        <v/>
      </c>
      <c r="H894" s="49">
        <f>IF(A894="","",DATE(YEAR(A894),MONTH(A894),1))</f>
        <v/>
      </c>
    </row>
    <row r="895">
      <c r="A895" s="48" t="n"/>
      <c r="B895" s="44" t="n"/>
      <c r="C895" s="44" t="n"/>
      <c r="D895" s="45" t="n"/>
      <c r="E895" s="44" t="n"/>
      <c r="F895" s="23">
        <f>IF(B895="","",IFERROR(INDEX(Cat_Tipo,MATCH(B895,Lista_Categorias,0)),"Deseo"))</f>
        <v/>
      </c>
      <c r="G895" s="23">
        <f>IF(A895="","",WEEKNUM(A895,2))</f>
        <v/>
      </c>
      <c r="H895" s="49">
        <f>IF(A895="","",DATE(YEAR(A895),MONTH(A895),1))</f>
        <v/>
      </c>
    </row>
    <row r="896">
      <c r="A896" s="48" t="n"/>
      <c r="B896" s="44" t="n"/>
      <c r="C896" s="44" t="n"/>
      <c r="D896" s="45" t="n"/>
      <c r="E896" s="44" t="n"/>
      <c r="F896" s="23">
        <f>IF(B896="","",IFERROR(INDEX(Cat_Tipo,MATCH(B896,Lista_Categorias,0)),"Deseo"))</f>
        <v/>
      </c>
      <c r="G896" s="23">
        <f>IF(A896="","",WEEKNUM(A896,2))</f>
        <v/>
      </c>
      <c r="H896" s="49">
        <f>IF(A896="","",DATE(YEAR(A896),MONTH(A896),1))</f>
        <v/>
      </c>
    </row>
    <row r="897">
      <c r="A897" s="48" t="n"/>
      <c r="B897" s="44" t="n"/>
      <c r="C897" s="44" t="n"/>
      <c r="D897" s="45" t="n"/>
      <c r="E897" s="44" t="n"/>
      <c r="F897" s="23">
        <f>IF(B897="","",IFERROR(INDEX(Cat_Tipo,MATCH(B897,Lista_Categorias,0)),"Deseo"))</f>
        <v/>
      </c>
      <c r="G897" s="23">
        <f>IF(A897="","",WEEKNUM(A897,2))</f>
        <v/>
      </c>
      <c r="H897" s="49">
        <f>IF(A897="","",DATE(YEAR(A897),MONTH(A897),1))</f>
        <v/>
      </c>
    </row>
    <row r="898">
      <c r="A898" s="48" t="n"/>
      <c r="B898" s="44" t="n"/>
      <c r="C898" s="44" t="n"/>
      <c r="D898" s="45" t="n"/>
      <c r="E898" s="44" t="n"/>
      <c r="F898" s="23">
        <f>IF(B898="","",IFERROR(INDEX(Cat_Tipo,MATCH(B898,Lista_Categorias,0)),"Deseo"))</f>
        <v/>
      </c>
      <c r="G898" s="23">
        <f>IF(A898="","",WEEKNUM(A898,2))</f>
        <v/>
      </c>
      <c r="H898" s="49">
        <f>IF(A898="","",DATE(YEAR(A898),MONTH(A898),1))</f>
        <v/>
      </c>
    </row>
    <row r="899">
      <c r="A899" s="48" t="n"/>
      <c r="B899" s="44" t="n"/>
      <c r="C899" s="44" t="n"/>
      <c r="D899" s="45" t="n"/>
      <c r="E899" s="44" t="n"/>
      <c r="F899" s="23">
        <f>IF(B899="","",IFERROR(INDEX(Cat_Tipo,MATCH(B899,Lista_Categorias,0)),"Deseo"))</f>
        <v/>
      </c>
      <c r="G899" s="23">
        <f>IF(A899="","",WEEKNUM(A899,2))</f>
        <v/>
      </c>
      <c r="H899" s="49">
        <f>IF(A899="","",DATE(YEAR(A899),MONTH(A899),1))</f>
        <v/>
      </c>
    </row>
    <row r="900">
      <c r="A900" s="48" t="n"/>
      <c r="B900" s="44" t="n"/>
      <c r="C900" s="44" t="n"/>
      <c r="D900" s="45" t="n"/>
      <c r="E900" s="44" t="n"/>
      <c r="F900" s="23">
        <f>IF(B900="","",IFERROR(INDEX(Cat_Tipo,MATCH(B900,Lista_Categorias,0)),"Deseo"))</f>
        <v/>
      </c>
      <c r="G900" s="23">
        <f>IF(A900="","",WEEKNUM(A900,2))</f>
        <v/>
      </c>
      <c r="H900" s="49">
        <f>IF(A900="","",DATE(YEAR(A900),MONTH(A900),1))</f>
        <v/>
      </c>
    </row>
    <row r="901">
      <c r="A901" s="48" t="n"/>
      <c r="B901" s="44" t="n"/>
      <c r="C901" s="44" t="n"/>
      <c r="D901" s="45" t="n"/>
      <c r="E901" s="44" t="n"/>
      <c r="F901" s="23">
        <f>IF(B901="","",IFERROR(INDEX(Cat_Tipo,MATCH(B901,Lista_Categorias,0)),"Deseo"))</f>
        <v/>
      </c>
      <c r="G901" s="23">
        <f>IF(A901="","",WEEKNUM(A901,2))</f>
        <v/>
      </c>
      <c r="H901" s="49">
        <f>IF(A901="","",DATE(YEAR(A901),MONTH(A901),1))</f>
        <v/>
      </c>
    </row>
    <row r="902">
      <c r="A902" s="48" t="n"/>
      <c r="B902" s="44" t="n"/>
      <c r="C902" s="44" t="n"/>
      <c r="D902" s="45" t="n"/>
      <c r="E902" s="44" t="n"/>
      <c r="F902" s="23">
        <f>IF(B902="","",IFERROR(INDEX(Cat_Tipo,MATCH(B902,Lista_Categorias,0)),"Deseo"))</f>
        <v/>
      </c>
      <c r="G902" s="23">
        <f>IF(A902="","",WEEKNUM(A902,2))</f>
        <v/>
      </c>
      <c r="H902" s="49">
        <f>IF(A902="","",DATE(YEAR(A902),MONTH(A902),1))</f>
        <v/>
      </c>
    </row>
    <row r="903">
      <c r="A903" s="48" t="n"/>
      <c r="B903" s="44" t="n"/>
      <c r="C903" s="44" t="n"/>
      <c r="D903" s="45" t="n"/>
      <c r="E903" s="44" t="n"/>
      <c r="F903" s="23">
        <f>IF(B903="","",IFERROR(INDEX(Cat_Tipo,MATCH(B903,Lista_Categorias,0)),"Deseo"))</f>
        <v/>
      </c>
      <c r="G903" s="23">
        <f>IF(A903="","",WEEKNUM(A903,2))</f>
        <v/>
      </c>
      <c r="H903" s="49">
        <f>IF(A903="","",DATE(YEAR(A903),MONTH(A903),1))</f>
        <v/>
      </c>
    </row>
    <row r="904">
      <c r="A904" s="48" t="n"/>
      <c r="B904" s="44" t="n"/>
      <c r="C904" s="44" t="n"/>
      <c r="D904" s="45" t="n"/>
      <c r="E904" s="44" t="n"/>
      <c r="F904" s="23">
        <f>IF(B904="","",IFERROR(INDEX(Cat_Tipo,MATCH(B904,Lista_Categorias,0)),"Deseo"))</f>
        <v/>
      </c>
      <c r="G904" s="23">
        <f>IF(A904="","",WEEKNUM(A904,2))</f>
        <v/>
      </c>
      <c r="H904" s="49">
        <f>IF(A904="","",DATE(YEAR(A904),MONTH(A904),1))</f>
        <v/>
      </c>
    </row>
    <row r="905">
      <c r="A905" s="48" t="n"/>
      <c r="B905" s="44" t="n"/>
      <c r="C905" s="44" t="n"/>
      <c r="D905" s="45" t="n"/>
      <c r="E905" s="44" t="n"/>
      <c r="F905" s="23">
        <f>IF(B905="","",IFERROR(INDEX(Cat_Tipo,MATCH(B905,Lista_Categorias,0)),"Deseo"))</f>
        <v/>
      </c>
      <c r="G905" s="23">
        <f>IF(A905="","",WEEKNUM(A905,2))</f>
        <v/>
      </c>
      <c r="H905" s="49">
        <f>IF(A905="","",DATE(YEAR(A905),MONTH(A905),1))</f>
        <v/>
      </c>
    </row>
    <row r="906">
      <c r="A906" s="48" t="n"/>
      <c r="B906" s="44" t="n"/>
      <c r="C906" s="44" t="n"/>
      <c r="D906" s="45" t="n"/>
      <c r="E906" s="44" t="n"/>
      <c r="F906" s="23">
        <f>IF(B906="","",IFERROR(INDEX(Cat_Tipo,MATCH(B906,Lista_Categorias,0)),"Deseo"))</f>
        <v/>
      </c>
      <c r="G906" s="23">
        <f>IF(A906="","",WEEKNUM(A906,2))</f>
        <v/>
      </c>
      <c r="H906" s="49">
        <f>IF(A906="","",DATE(YEAR(A906),MONTH(A906),1))</f>
        <v/>
      </c>
    </row>
    <row r="907">
      <c r="A907" s="48" t="n"/>
      <c r="B907" s="44" t="n"/>
      <c r="C907" s="44" t="n"/>
      <c r="D907" s="45" t="n"/>
      <c r="E907" s="44" t="n"/>
      <c r="F907" s="23">
        <f>IF(B907="","",IFERROR(INDEX(Cat_Tipo,MATCH(B907,Lista_Categorias,0)),"Deseo"))</f>
        <v/>
      </c>
      <c r="G907" s="23">
        <f>IF(A907="","",WEEKNUM(A907,2))</f>
        <v/>
      </c>
      <c r="H907" s="49">
        <f>IF(A907="","",DATE(YEAR(A907),MONTH(A907),1))</f>
        <v/>
      </c>
    </row>
    <row r="908">
      <c r="A908" s="48" t="n"/>
      <c r="B908" s="44" t="n"/>
      <c r="C908" s="44" t="n"/>
      <c r="D908" s="45" t="n"/>
      <c r="E908" s="44" t="n"/>
      <c r="F908" s="23">
        <f>IF(B908="","",IFERROR(INDEX(Cat_Tipo,MATCH(B908,Lista_Categorias,0)),"Deseo"))</f>
        <v/>
      </c>
      <c r="G908" s="23">
        <f>IF(A908="","",WEEKNUM(A908,2))</f>
        <v/>
      </c>
      <c r="H908" s="49">
        <f>IF(A908="","",DATE(YEAR(A908),MONTH(A908),1))</f>
        <v/>
      </c>
    </row>
    <row r="909">
      <c r="A909" s="48" t="n"/>
      <c r="B909" s="44" t="n"/>
      <c r="C909" s="44" t="n"/>
      <c r="D909" s="45" t="n"/>
      <c r="E909" s="44" t="n"/>
      <c r="F909" s="23">
        <f>IF(B909="","",IFERROR(INDEX(Cat_Tipo,MATCH(B909,Lista_Categorias,0)),"Deseo"))</f>
        <v/>
      </c>
      <c r="G909" s="23">
        <f>IF(A909="","",WEEKNUM(A909,2))</f>
        <v/>
      </c>
      <c r="H909" s="49">
        <f>IF(A909="","",DATE(YEAR(A909),MONTH(A909),1))</f>
        <v/>
      </c>
    </row>
    <row r="910">
      <c r="A910" s="48" t="n"/>
      <c r="B910" s="44" t="n"/>
      <c r="C910" s="44" t="n"/>
      <c r="D910" s="45" t="n"/>
      <c r="E910" s="44" t="n"/>
      <c r="F910" s="23">
        <f>IF(B910="","",IFERROR(INDEX(Cat_Tipo,MATCH(B910,Lista_Categorias,0)),"Deseo"))</f>
        <v/>
      </c>
      <c r="G910" s="23">
        <f>IF(A910="","",WEEKNUM(A910,2))</f>
        <v/>
      </c>
      <c r="H910" s="49">
        <f>IF(A910="","",DATE(YEAR(A910),MONTH(A910),1))</f>
        <v/>
      </c>
    </row>
    <row r="911">
      <c r="A911" s="48" t="n"/>
      <c r="B911" s="44" t="n"/>
      <c r="C911" s="44" t="n"/>
      <c r="D911" s="45" t="n"/>
      <c r="E911" s="44" t="n"/>
      <c r="F911" s="23">
        <f>IF(B911="","",IFERROR(INDEX(Cat_Tipo,MATCH(B911,Lista_Categorias,0)),"Deseo"))</f>
        <v/>
      </c>
      <c r="G911" s="23">
        <f>IF(A911="","",WEEKNUM(A911,2))</f>
        <v/>
      </c>
      <c r="H911" s="49">
        <f>IF(A911="","",DATE(YEAR(A911),MONTH(A911),1))</f>
        <v/>
      </c>
    </row>
    <row r="912">
      <c r="A912" s="48" t="n"/>
      <c r="B912" s="44" t="n"/>
      <c r="C912" s="44" t="n"/>
      <c r="D912" s="45" t="n"/>
      <c r="E912" s="44" t="n"/>
      <c r="F912" s="23">
        <f>IF(B912="","",IFERROR(INDEX(Cat_Tipo,MATCH(B912,Lista_Categorias,0)),"Deseo"))</f>
        <v/>
      </c>
      <c r="G912" s="23">
        <f>IF(A912="","",WEEKNUM(A912,2))</f>
        <v/>
      </c>
      <c r="H912" s="49">
        <f>IF(A912="","",DATE(YEAR(A912),MONTH(A912),1))</f>
        <v/>
      </c>
    </row>
    <row r="913">
      <c r="A913" s="48" t="n"/>
      <c r="B913" s="44" t="n"/>
      <c r="C913" s="44" t="n"/>
      <c r="D913" s="45" t="n"/>
      <c r="E913" s="44" t="n"/>
      <c r="F913" s="23">
        <f>IF(B913="","",IFERROR(INDEX(Cat_Tipo,MATCH(B913,Lista_Categorias,0)),"Deseo"))</f>
        <v/>
      </c>
      <c r="G913" s="23">
        <f>IF(A913="","",WEEKNUM(A913,2))</f>
        <v/>
      </c>
      <c r="H913" s="49">
        <f>IF(A913="","",DATE(YEAR(A913),MONTH(A913),1))</f>
        <v/>
      </c>
    </row>
    <row r="914">
      <c r="A914" s="48" t="n"/>
      <c r="B914" s="44" t="n"/>
      <c r="C914" s="44" t="n"/>
      <c r="D914" s="45" t="n"/>
      <c r="E914" s="44" t="n"/>
      <c r="F914" s="23">
        <f>IF(B914="","",IFERROR(INDEX(Cat_Tipo,MATCH(B914,Lista_Categorias,0)),"Deseo"))</f>
        <v/>
      </c>
      <c r="G914" s="23">
        <f>IF(A914="","",WEEKNUM(A914,2))</f>
        <v/>
      </c>
      <c r="H914" s="49">
        <f>IF(A914="","",DATE(YEAR(A914),MONTH(A914),1))</f>
        <v/>
      </c>
    </row>
    <row r="915">
      <c r="A915" s="48" t="n"/>
      <c r="B915" s="44" t="n"/>
      <c r="C915" s="44" t="n"/>
      <c r="D915" s="45" t="n"/>
      <c r="E915" s="44" t="n"/>
      <c r="F915" s="23">
        <f>IF(B915="","",IFERROR(INDEX(Cat_Tipo,MATCH(B915,Lista_Categorias,0)),"Deseo"))</f>
        <v/>
      </c>
      <c r="G915" s="23">
        <f>IF(A915="","",WEEKNUM(A915,2))</f>
        <v/>
      </c>
      <c r="H915" s="49">
        <f>IF(A915="","",DATE(YEAR(A915),MONTH(A915),1))</f>
        <v/>
      </c>
    </row>
    <row r="916">
      <c r="A916" s="48" t="n"/>
      <c r="B916" s="44" t="n"/>
      <c r="C916" s="44" t="n"/>
      <c r="D916" s="45" t="n"/>
      <c r="E916" s="44" t="n"/>
      <c r="F916" s="23">
        <f>IF(B916="","",IFERROR(INDEX(Cat_Tipo,MATCH(B916,Lista_Categorias,0)),"Deseo"))</f>
        <v/>
      </c>
      <c r="G916" s="23">
        <f>IF(A916="","",WEEKNUM(A916,2))</f>
        <v/>
      </c>
      <c r="H916" s="49">
        <f>IF(A916="","",DATE(YEAR(A916),MONTH(A916),1))</f>
        <v/>
      </c>
    </row>
    <row r="917">
      <c r="A917" s="48" t="n"/>
      <c r="B917" s="44" t="n"/>
      <c r="C917" s="44" t="n"/>
      <c r="D917" s="45" t="n"/>
      <c r="E917" s="44" t="n"/>
      <c r="F917" s="23">
        <f>IF(B917="","",IFERROR(INDEX(Cat_Tipo,MATCH(B917,Lista_Categorias,0)),"Deseo"))</f>
        <v/>
      </c>
      <c r="G917" s="23">
        <f>IF(A917="","",WEEKNUM(A917,2))</f>
        <v/>
      </c>
      <c r="H917" s="49">
        <f>IF(A917="","",DATE(YEAR(A917),MONTH(A917),1))</f>
        <v/>
      </c>
    </row>
    <row r="918">
      <c r="A918" s="48" t="n"/>
      <c r="B918" s="44" t="n"/>
      <c r="C918" s="44" t="n"/>
      <c r="D918" s="45" t="n"/>
      <c r="E918" s="44" t="n"/>
      <c r="F918" s="23">
        <f>IF(B918="","",IFERROR(INDEX(Cat_Tipo,MATCH(B918,Lista_Categorias,0)),"Deseo"))</f>
        <v/>
      </c>
      <c r="G918" s="23">
        <f>IF(A918="","",WEEKNUM(A918,2))</f>
        <v/>
      </c>
      <c r="H918" s="49">
        <f>IF(A918="","",DATE(YEAR(A918),MONTH(A918),1))</f>
        <v/>
      </c>
    </row>
    <row r="919">
      <c r="A919" s="48" t="n"/>
      <c r="B919" s="44" t="n"/>
      <c r="C919" s="44" t="n"/>
      <c r="D919" s="45" t="n"/>
      <c r="E919" s="44" t="n"/>
      <c r="F919" s="23">
        <f>IF(B919="","",IFERROR(INDEX(Cat_Tipo,MATCH(B919,Lista_Categorias,0)),"Deseo"))</f>
        <v/>
      </c>
      <c r="G919" s="23">
        <f>IF(A919="","",WEEKNUM(A919,2))</f>
        <v/>
      </c>
      <c r="H919" s="49">
        <f>IF(A919="","",DATE(YEAR(A919),MONTH(A919),1))</f>
        <v/>
      </c>
    </row>
    <row r="920">
      <c r="A920" s="48" t="n"/>
      <c r="B920" s="44" t="n"/>
      <c r="C920" s="44" t="n"/>
      <c r="D920" s="45" t="n"/>
      <c r="E920" s="44" t="n"/>
      <c r="F920" s="23">
        <f>IF(B920="","",IFERROR(INDEX(Cat_Tipo,MATCH(B920,Lista_Categorias,0)),"Deseo"))</f>
        <v/>
      </c>
      <c r="G920" s="23">
        <f>IF(A920="","",WEEKNUM(A920,2))</f>
        <v/>
      </c>
      <c r="H920" s="49">
        <f>IF(A920="","",DATE(YEAR(A920),MONTH(A920),1))</f>
        <v/>
      </c>
    </row>
    <row r="921">
      <c r="A921" s="48" t="n"/>
      <c r="B921" s="44" t="n"/>
      <c r="C921" s="44" t="n"/>
      <c r="D921" s="45" t="n"/>
      <c r="E921" s="44" t="n"/>
      <c r="F921" s="23">
        <f>IF(B921="","",IFERROR(INDEX(Cat_Tipo,MATCH(B921,Lista_Categorias,0)),"Deseo"))</f>
        <v/>
      </c>
      <c r="G921" s="23">
        <f>IF(A921="","",WEEKNUM(A921,2))</f>
        <v/>
      </c>
      <c r="H921" s="49">
        <f>IF(A921="","",DATE(YEAR(A921),MONTH(A921),1))</f>
        <v/>
      </c>
    </row>
    <row r="922">
      <c r="A922" s="48" t="n"/>
      <c r="B922" s="44" t="n"/>
      <c r="C922" s="44" t="n"/>
      <c r="D922" s="45" t="n"/>
      <c r="E922" s="44" t="n"/>
      <c r="F922" s="23">
        <f>IF(B922="","",IFERROR(INDEX(Cat_Tipo,MATCH(B922,Lista_Categorias,0)),"Deseo"))</f>
        <v/>
      </c>
      <c r="G922" s="23">
        <f>IF(A922="","",WEEKNUM(A922,2))</f>
        <v/>
      </c>
      <c r="H922" s="49">
        <f>IF(A922="","",DATE(YEAR(A922),MONTH(A922),1))</f>
        <v/>
      </c>
    </row>
    <row r="923">
      <c r="A923" s="48" t="n"/>
      <c r="B923" s="44" t="n"/>
      <c r="C923" s="44" t="n"/>
      <c r="D923" s="45" t="n"/>
      <c r="E923" s="44" t="n"/>
      <c r="F923" s="23">
        <f>IF(B923="","",IFERROR(INDEX(Cat_Tipo,MATCH(B923,Lista_Categorias,0)),"Deseo"))</f>
        <v/>
      </c>
      <c r="G923" s="23">
        <f>IF(A923="","",WEEKNUM(A923,2))</f>
        <v/>
      </c>
      <c r="H923" s="49">
        <f>IF(A923="","",DATE(YEAR(A923),MONTH(A923),1))</f>
        <v/>
      </c>
    </row>
    <row r="924">
      <c r="A924" s="48" t="n"/>
      <c r="B924" s="44" t="n"/>
      <c r="C924" s="44" t="n"/>
      <c r="D924" s="45" t="n"/>
      <c r="E924" s="44" t="n"/>
      <c r="F924" s="23">
        <f>IF(B924="","",IFERROR(INDEX(Cat_Tipo,MATCH(B924,Lista_Categorias,0)),"Deseo"))</f>
        <v/>
      </c>
      <c r="G924" s="23">
        <f>IF(A924="","",WEEKNUM(A924,2))</f>
        <v/>
      </c>
      <c r="H924" s="49">
        <f>IF(A924="","",DATE(YEAR(A924),MONTH(A924),1))</f>
        <v/>
      </c>
    </row>
    <row r="925">
      <c r="A925" s="48" t="n"/>
      <c r="B925" s="44" t="n"/>
      <c r="C925" s="44" t="n"/>
      <c r="D925" s="45" t="n"/>
      <c r="E925" s="44" t="n"/>
      <c r="F925" s="23">
        <f>IF(B925="","",IFERROR(INDEX(Cat_Tipo,MATCH(B925,Lista_Categorias,0)),"Deseo"))</f>
        <v/>
      </c>
      <c r="G925" s="23">
        <f>IF(A925="","",WEEKNUM(A925,2))</f>
        <v/>
      </c>
      <c r="H925" s="49">
        <f>IF(A925="","",DATE(YEAR(A925),MONTH(A925),1))</f>
        <v/>
      </c>
    </row>
    <row r="926">
      <c r="A926" s="48" t="n"/>
      <c r="B926" s="44" t="n"/>
      <c r="C926" s="44" t="n"/>
      <c r="D926" s="45" t="n"/>
      <c r="E926" s="44" t="n"/>
      <c r="F926" s="23">
        <f>IF(B926="","",IFERROR(INDEX(Cat_Tipo,MATCH(B926,Lista_Categorias,0)),"Deseo"))</f>
        <v/>
      </c>
      <c r="G926" s="23">
        <f>IF(A926="","",WEEKNUM(A926,2))</f>
        <v/>
      </c>
      <c r="H926" s="49">
        <f>IF(A926="","",DATE(YEAR(A926),MONTH(A926),1))</f>
        <v/>
      </c>
    </row>
    <row r="927">
      <c r="A927" s="48" t="n"/>
      <c r="B927" s="44" t="n"/>
      <c r="C927" s="44" t="n"/>
      <c r="D927" s="45" t="n"/>
      <c r="E927" s="44" t="n"/>
      <c r="F927" s="23">
        <f>IF(B927="","",IFERROR(INDEX(Cat_Tipo,MATCH(B927,Lista_Categorias,0)),"Deseo"))</f>
        <v/>
      </c>
      <c r="G927" s="23">
        <f>IF(A927="","",WEEKNUM(A927,2))</f>
        <v/>
      </c>
      <c r="H927" s="49">
        <f>IF(A927="","",DATE(YEAR(A927),MONTH(A927),1))</f>
        <v/>
      </c>
    </row>
    <row r="928">
      <c r="A928" s="48" t="n"/>
      <c r="B928" s="44" t="n"/>
      <c r="C928" s="44" t="n"/>
      <c r="D928" s="45" t="n"/>
      <c r="E928" s="44" t="n"/>
      <c r="F928" s="23">
        <f>IF(B928="","",IFERROR(INDEX(Cat_Tipo,MATCH(B928,Lista_Categorias,0)),"Deseo"))</f>
        <v/>
      </c>
      <c r="G928" s="23">
        <f>IF(A928="","",WEEKNUM(A928,2))</f>
        <v/>
      </c>
      <c r="H928" s="49">
        <f>IF(A928="","",DATE(YEAR(A928),MONTH(A928),1))</f>
        <v/>
      </c>
    </row>
    <row r="929">
      <c r="A929" s="48" t="n"/>
      <c r="B929" s="44" t="n"/>
      <c r="C929" s="44" t="n"/>
      <c r="D929" s="45" t="n"/>
      <c r="E929" s="44" t="n"/>
      <c r="F929" s="23">
        <f>IF(B929="","",IFERROR(INDEX(Cat_Tipo,MATCH(B929,Lista_Categorias,0)),"Deseo"))</f>
        <v/>
      </c>
      <c r="G929" s="23">
        <f>IF(A929="","",WEEKNUM(A929,2))</f>
        <v/>
      </c>
      <c r="H929" s="49">
        <f>IF(A929="","",DATE(YEAR(A929),MONTH(A929),1))</f>
        <v/>
      </c>
    </row>
    <row r="930">
      <c r="A930" s="48" t="n"/>
      <c r="B930" s="44" t="n"/>
      <c r="C930" s="44" t="n"/>
      <c r="D930" s="45" t="n"/>
      <c r="E930" s="44" t="n"/>
      <c r="F930" s="23">
        <f>IF(B930="","",IFERROR(INDEX(Cat_Tipo,MATCH(B930,Lista_Categorias,0)),"Deseo"))</f>
        <v/>
      </c>
      <c r="G930" s="23">
        <f>IF(A930="","",WEEKNUM(A930,2))</f>
        <v/>
      </c>
      <c r="H930" s="49">
        <f>IF(A930="","",DATE(YEAR(A930),MONTH(A930),1))</f>
        <v/>
      </c>
    </row>
    <row r="931">
      <c r="A931" s="48" t="n"/>
      <c r="B931" s="44" t="n"/>
      <c r="C931" s="44" t="n"/>
      <c r="D931" s="45" t="n"/>
      <c r="E931" s="44" t="n"/>
      <c r="F931" s="23">
        <f>IF(B931="","",IFERROR(INDEX(Cat_Tipo,MATCH(B931,Lista_Categorias,0)),"Deseo"))</f>
        <v/>
      </c>
      <c r="G931" s="23">
        <f>IF(A931="","",WEEKNUM(A931,2))</f>
        <v/>
      </c>
      <c r="H931" s="49">
        <f>IF(A931="","",DATE(YEAR(A931),MONTH(A931),1))</f>
        <v/>
      </c>
    </row>
    <row r="932">
      <c r="A932" s="48" t="n"/>
      <c r="B932" s="44" t="n"/>
      <c r="C932" s="44" t="n"/>
      <c r="D932" s="45" t="n"/>
      <c r="E932" s="44" t="n"/>
      <c r="F932" s="23">
        <f>IF(B932="","",IFERROR(INDEX(Cat_Tipo,MATCH(B932,Lista_Categorias,0)),"Deseo"))</f>
        <v/>
      </c>
      <c r="G932" s="23">
        <f>IF(A932="","",WEEKNUM(A932,2))</f>
        <v/>
      </c>
      <c r="H932" s="49">
        <f>IF(A932="","",DATE(YEAR(A932),MONTH(A932),1))</f>
        <v/>
      </c>
    </row>
    <row r="933">
      <c r="A933" s="48" t="n"/>
      <c r="B933" s="44" t="n"/>
      <c r="C933" s="44" t="n"/>
      <c r="D933" s="45" t="n"/>
      <c r="E933" s="44" t="n"/>
      <c r="F933" s="23">
        <f>IF(B933="","",IFERROR(INDEX(Cat_Tipo,MATCH(B933,Lista_Categorias,0)),"Deseo"))</f>
        <v/>
      </c>
      <c r="G933" s="23">
        <f>IF(A933="","",WEEKNUM(A933,2))</f>
        <v/>
      </c>
      <c r="H933" s="49">
        <f>IF(A933="","",DATE(YEAR(A933),MONTH(A933),1))</f>
        <v/>
      </c>
    </row>
    <row r="934">
      <c r="A934" s="48" t="n"/>
      <c r="B934" s="44" t="n"/>
      <c r="C934" s="44" t="n"/>
      <c r="D934" s="45" t="n"/>
      <c r="E934" s="44" t="n"/>
      <c r="F934" s="23">
        <f>IF(B934="","",IFERROR(INDEX(Cat_Tipo,MATCH(B934,Lista_Categorias,0)),"Deseo"))</f>
        <v/>
      </c>
      <c r="G934" s="23">
        <f>IF(A934="","",WEEKNUM(A934,2))</f>
        <v/>
      </c>
      <c r="H934" s="49">
        <f>IF(A934="","",DATE(YEAR(A934),MONTH(A934),1))</f>
        <v/>
      </c>
    </row>
    <row r="935">
      <c r="A935" s="48" t="n"/>
      <c r="B935" s="44" t="n"/>
      <c r="C935" s="44" t="n"/>
      <c r="D935" s="45" t="n"/>
      <c r="E935" s="44" t="n"/>
      <c r="F935" s="23">
        <f>IF(B935="","",IFERROR(INDEX(Cat_Tipo,MATCH(B935,Lista_Categorias,0)),"Deseo"))</f>
        <v/>
      </c>
      <c r="G935" s="23">
        <f>IF(A935="","",WEEKNUM(A935,2))</f>
        <v/>
      </c>
      <c r="H935" s="49">
        <f>IF(A935="","",DATE(YEAR(A935),MONTH(A935),1))</f>
        <v/>
      </c>
    </row>
    <row r="936">
      <c r="A936" s="48" t="n"/>
      <c r="B936" s="44" t="n"/>
      <c r="C936" s="44" t="n"/>
      <c r="D936" s="45" t="n"/>
      <c r="E936" s="44" t="n"/>
      <c r="F936" s="23">
        <f>IF(B936="","",IFERROR(INDEX(Cat_Tipo,MATCH(B936,Lista_Categorias,0)),"Deseo"))</f>
        <v/>
      </c>
      <c r="G936" s="23">
        <f>IF(A936="","",WEEKNUM(A936,2))</f>
        <v/>
      </c>
      <c r="H936" s="49">
        <f>IF(A936="","",DATE(YEAR(A936),MONTH(A936),1))</f>
        <v/>
      </c>
    </row>
    <row r="937">
      <c r="A937" s="48" t="n"/>
      <c r="B937" s="44" t="n"/>
      <c r="C937" s="44" t="n"/>
      <c r="D937" s="45" t="n"/>
      <c r="E937" s="44" t="n"/>
      <c r="F937" s="23">
        <f>IF(B937="","",IFERROR(INDEX(Cat_Tipo,MATCH(B937,Lista_Categorias,0)),"Deseo"))</f>
        <v/>
      </c>
      <c r="G937" s="23">
        <f>IF(A937="","",WEEKNUM(A937,2))</f>
        <v/>
      </c>
      <c r="H937" s="49">
        <f>IF(A937="","",DATE(YEAR(A937),MONTH(A937),1))</f>
        <v/>
      </c>
    </row>
    <row r="938">
      <c r="A938" s="48" t="n"/>
      <c r="B938" s="44" t="n"/>
      <c r="C938" s="44" t="n"/>
      <c r="D938" s="45" t="n"/>
      <c r="E938" s="44" t="n"/>
      <c r="F938" s="23">
        <f>IF(B938="","",IFERROR(INDEX(Cat_Tipo,MATCH(B938,Lista_Categorias,0)),"Deseo"))</f>
        <v/>
      </c>
      <c r="G938" s="23">
        <f>IF(A938="","",WEEKNUM(A938,2))</f>
        <v/>
      </c>
      <c r="H938" s="49">
        <f>IF(A938="","",DATE(YEAR(A938),MONTH(A938),1))</f>
        <v/>
      </c>
    </row>
    <row r="939">
      <c r="A939" s="48" t="n"/>
      <c r="B939" s="44" t="n"/>
      <c r="C939" s="44" t="n"/>
      <c r="D939" s="45" t="n"/>
      <c r="E939" s="44" t="n"/>
      <c r="F939" s="23">
        <f>IF(B939="","",IFERROR(INDEX(Cat_Tipo,MATCH(B939,Lista_Categorias,0)),"Deseo"))</f>
        <v/>
      </c>
      <c r="G939" s="23">
        <f>IF(A939="","",WEEKNUM(A939,2))</f>
        <v/>
      </c>
      <c r="H939" s="49">
        <f>IF(A939="","",DATE(YEAR(A939),MONTH(A939),1))</f>
        <v/>
      </c>
    </row>
    <row r="940">
      <c r="A940" s="48" t="n"/>
      <c r="B940" s="44" t="n"/>
      <c r="C940" s="44" t="n"/>
      <c r="D940" s="45" t="n"/>
      <c r="E940" s="44" t="n"/>
      <c r="F940" s="23">
        <f>IF(B940="","",IFERROR(INDEX(Cat_Tipo,MATCH(B940,Lista_Categorias,0)),"Deseo"))</f>
        <v/>
      </c>
      <c r="G940" s="23">
        <f>IF(A940="","",WEEKNUM(A940,2))</f>
        <v/>
      </c>
      <c r="H940" s="49">
        <f>IF(A940="","",DATE(YEAR(A940),MONTH(A940),1))</f>
        <v/>
      </c>
    </row>
    <row r="941">
      <c r="A941" s="48" t="n"/>
      <c r="B941" s="44" t="n"/>
      <c r="C941" s="44" t="n"/>
      <c r="D941" s="45" t="n"/>
      <c r="E941" s="44" t="n"/>
      <c r="F941" s="23">
        <f>IF(B941="","",IFERROR(INDEX(Cat_Tipo,MATCH(B941,Lista_Categorias,0)),"Deseo"))</f>
        <v/>
      </c>
      <c r="G941" s="23">
        <f>IF(A941="","",WEEKNUM(A941,2))</f>
        <v/>
      </c>
      <c r="H941" s="49">
        <f>IF(A941="","",DATE(YEAR(A941),MONTH(A941),1))</f>
        <v/>
      </c>
    </row>
    <row r="942">
      <c r="A942" s="48" t="n"/>
      <c r="B942" s="44" t="n"/>
      <c r="C942" s="44" t="n"/>
      <c r="D942" s="45" t="n"/>
      <c r="E942" s="44" t="n"/>
      <c r="F942" s="23">
        <f>IF(B942="","",IFERROR(INDEX(Cat_Tipo,MATCH(B942,Lista_Categorias,0)),"Deseo"))</f>
        <v/>
      </c>
      <c r="G942" s="23">
        <f>IF(A942="","",WEEKNUM(A942,2))</f>
        <v/>
      </c>
      <c r="H942" s="49">
        <f>IF(A942="","",DATE(YEAR(A942),MONTH(A942),1))</f>
        <v/>
      </c>
    </row>
    <row r="943">
      <c r="A943" s="48" t="n"/>
      <c r="B943" s="44" t="n"/>
      <c r="C943" s="44" t="n"/>
      <c r="D943" s="45" t="n"/>
      <c r="E943" s="44" t="n"/>
      <c r="F943" s="23">
        <f>IF(B943="","",IFERROR(INDEX(Cat_Tipo,MATCH(B943,Lista_Categorias,0)),"Deseo"))</f>
        <v/>
      </c>
      <c r="G943" s="23">
        <f>IF(A943="","",WEEKNUM(A943,2))</f>
        <v/>
      </c>
      <c r="H943" s="49">
        <f>IF(A943="","",DATE(YEAR(A943),MONTH(A943),1))</f>
        <v/>
      </c>
    </row>
    <row r="944">
      <c r="A944" s="48" t="n"/>
      <c r="B944" s="44" t="n"/>
      <c r="C944" s="44" t="n"/>
      <c r="D944" s="45" t="n"/>
      <c r="E944" s="44" t="n"/>
      <c r="F944" s="23">
        <f>IF(B944="","",IFERROR(INDEX(Cat_Tipo,MATCH(B944,Lista_Categorias,0)),"Deseo"))</f>
        <v/>
      </c>
      <c r="G944" s="23">
        <f>IF(A944="","",WEEKNUM(A944,2))</f>
        <v/>
      </c>
      <c r="H944" s="49">
        <f>IF(A944="","",DATE(YEAR(A944),MONTH(A944),1))</f>
        <v/>
      </c>
    </row>
    <row r="945">
      <c r="A945" s="48" t="n"/>
      <c r="B945" s="44" t="n"/>
      <c r="C945" s="44" t="n"/>
      <c r="D945" s="45" t="n"/>
      <c r="E945" s="44" t="n"/>
      <c r="F945" s="23">
        <f>IF(B945="","",IFERROR(INDEX(Cat_Tipo,MATCH(B945,Lista_Categorias,0)),"Deseo"))</f>
        <v/>
      </c>
      <c r="G945" s="23">
        <f>IF(A945="","",WEEKNUM(A945,2))</f>
        <v/>
      </c>
      <c r="H945" s="49">
        <f>IF(A945="","",DATE(YEAR(A945),MONTH(A945),1))</f>
        <v/>
      </c>
    </row>
    <row r="946">
      <c r="A946" s="48" t="n"/>
      <c r="B946" s="44" t="n"/>
      <c r="C946" s="44" t="n"/>
      <c r="D946" s="45" t="n"/>
      <c r="E946" s="44" t="n"/>
      <c r="F946" s="23">
        <f>IF(B946="","",IFERROR(INDEX(Cat_Tipo,MATCH(B946,Lista_Categorias,0)),"Deseo"))</f>
        <v/>
      </c>
      <c r="G946" s="23">
        <f>IF(A946="","",WEEKNUM(A946,2))</f>
        <v/>
      </c>
      <c r="H946" s="49">
        <f>IF(A946="","",DATE(YEAR(A946),MONTH(A946),1))</f>
        <v/>
      </c>
    </row>
    <row r="947">
      <c r="A947" s="48" t="n"/>
      <c r="B947" s="44" t="n"/>
      <c r="C947" s="44" t="n"/>
      <c r="D947" s="45" t="n"/>
      <c r="E947" s="44" t="n"/>
      <c r="F947" s="23">
        <f>IF(B947="","",IFERROR(INDEX(Cat_Tipo,MATCH(B947,Lista_Categorias,0)),"Deseo"))</f>
        <v/>
      </c>
      <c r="G947" s="23">
        <f>IF(A947="","",WEEKNUM(A947,2))</f>
        <v/>
      </c>
      <c r="H947" s="49">
        <f>IF(A947="","",DATE(YEAR(A947),MONTH(A947),1))</f>
        <v/>
      </c>
    </row>
    <row r="948">
      <c r="A948" s="48" t="n"/>
      <c r="B948" s="44" t="n"/>
      <c r="C948" s="44" t="n"/>
      <c r="D948" s="45" t="n"/>
      <c r="E948" s="44" t="n"/>
      <c r="F948" s="23">
        <f>IF(B948="","",IFERROR(INDEX(Cat_Tipo,MATCH(B948,Lista_Categorias,0)),"Deseo"))</f>
        <v/>
      </c>
      <c r="G948" s="23">
        <f>IF(A948="","",WEEKNUM(A948,2))</f>
        <v/>
      </c>
      <c r="H948" s="49">
        <f>IF(A948="","",DATE(YEAR(A948),MONTH(A948),1))</f>
        <v/>
      </c>
    </row>
    <row r="949">
      <c r="A949" s="48" t="n"/>
      <c r="B949" s="44" t="n"/>
      <c r="C949" s="44" t="n"/>
      <c r="D949" s="45" t="n"/>
      <c r="E949" s="44" t="n"/>
      <c r="F949" s="23">
        <f>IF(B949="","",IFERROR(INDEX(Cat_Tipo,MATCH(B949,Lista_Categorias,0)),"Deseo"))</f>
        <v/>
      </c>
      <c r="G949" s="23">
        <f>IF(A949="","",WEEKNUM(A949,2))</f>
        <v/>
      </c>
      <c r="H949" s="49">
        <f>IF(A949="","",DATE(YEAR(A949),MONTH(A949),1))</f>
        <v/>
      </c>
    </row>
    <row r="950">
      <c r="A950" s="48" t="n"/>
      <c r="B950" s="44" t="n"/>
      <c r="C950" s="44" t="n"/>
      <c r="D950" s="45" t="n"/>
      <c r="E950" s="44" t="n"/>
      <c r="F950" s="23">
        <f>IF(B950="","",IFERROR(INDEX(Cat_Tipo,MATCH(B950,Lista_Categorias,0)),"Deseo"))</f>
        <v/>
      </c>
      <c r="G950" s="23">
        <f>IF(A950="","",WEEKNUM(A950,2))</f>
        <v/>
      </c>
      <c r="H950" s="49">
        <f>IF(A950="","",DATE(YEAR(A950),MONTH(A950),1))</f>
        <v/>
      </c>
    </row>
    <row r="951">
      <c r="A951" s="48" t="n"/>
      <c r="B951" s="44" t="n"/>
      <c r="C951" s="44" t="n"/>
      <c r="D951" s="45" t="n"/>
      <c r="E951" s="44" t="n"/>
      <c r="F951" s="23">
        <f>IF(B951="","",IFERROR(INDEX(Cat_Tipo,MATCH(B951,Lista_Categorias,0)),"Deseo"))</f>
        <v/>
      </c>
      <c r="G951" s="23">
        <f>IF(A951="","",WEEKNUM(A951,2))</f>
        <v/>
      </c>
      <c r="H951" s="49">
        <f>IF(A951="","",DATE(YEAR(A951),MONTH(A951),1))</f>
        <v/>
      </c>
    </row>
    <row r="952">
      <c r="A952" s="48" t="n"/>
      <c r="B952" s="44" t="n"/>
      <c r="C952" s="44" t="n"/>
      <c r="D952" s="45" t="n"/>
      <c r="E952" s="44" t="n"/>
      <c r="F952" s="23">
        <f>IF(B952="","",IFERROR(INDEX(Cat_Tipo,MATCH(B952,Lista_Categorias,0)),"Deseo"))</f>
        <v/>
      </c>
      <c r="G952" s="23">
        <f>IF(A952="","",WEEKNUM(A952,2))</f>
        <v/>
      </c>
      <c r="H952" s="49">
        <f>IF(A952="","",DATE(YEAR(A952),MONTH(A952),1))</f>
        <v/>
      </c>
    </row>
    <row r="953">
      <c r="A953" s="48" t="n"/>
      <c r="B953" s="44" t="n"/>
      <c r="C953" s="44" t="n"/>
      <c r="D953" s="45" t="n"/>
      <c r="E953" s="44" t="n"/>
      <c r="F953" s="23">
        <f>IF(B953="","",IFERROR(INDEX(Cat_Tipo,MATCH(B953,Lista_Categorias,0)),"Deseo"))</f>
        <v/>
      </c>
      <c r="G953" s="23">
        <f>IF(A953="","",WEEKNUM(A953,2))</f>
        <v/>
      </c>
      <c r="H953" s="49">
        <f>IF(A953="","",DATE(YEAR(A953),MONTH(A953),1))</f>
        <v/>
      </c>
    </row>
    <row r="954">
      <c r="A954" s="48" t="n"/>
      <c r="B954" s="44" t="n"/>
      <c r="C954" s="44" t="n"/>
      <c r="D954" s="45" t="n"/>
      <c r="E954" s="44" t="n"/>
      <c r="F954" s="23">
        <f>IF(B954="","",IFERROR(INDEX(Cat_Tipo,MATCH(B954,Lista_Categorias,0)),"Deseo"))</f>
        <v/>
      </c>
      <c r="G954" s="23">
        <f>IF(A954="","",WEEKNUM(A954,2))</f>
        <v/>
      </c>
      <c r="H954" s="49">
        <f>IF(A954="","",DATE(YEAR(A954),MONTH(A954),1))</f>
        <v/>
      </c>
    </row>
    <row r="955">
      <c r="A955" s="48" t="n"/>
      <c r="B955" s="44" t="n"/>
      <c r="C955" s="44" t="n"/>
      <c r="D955" s="45" t="n"/>
      <c r="E955" s="44" t="n"/>
      <c r="F955" s="23">
        <f>IF(B955="","",IFERROR(INDEX(Cat_Tipo,MATCH(B955,Lista_Categorias,0)),"Deseo"))</f>
        <v/>
      </c>
      <c r="G955" s="23">
        <f>IF(A955="","",WEEKNUM(A955,2))</f>
        <v/>
      </c>
      <c r="H955" s="49">
        <f>IF(A955="","",DATE(YEAR(A955),MONTH(A955),1))</f>
        <v/>
      </c>
    </row>
    <row r="956">
      <c r="A956" s="48" t="n"/>
      <c r="B956" s="44" t="n"/>
      <c r="C956" s="44" t="n"/>
      <c r="D956" s="45" t="n"/>
      <c r="E956" s="44" t="n"/>
      <c r="F956" s="23">
        <f>IF(B956="","",IFERROR(INDEX(Cat_Tipo,MATCH(B956,Lista_Categorias,0)),"Deseo"))</f>
        <v/>
      </c>
      <c r="G956" s="23">
        <f>IF(A956="","",WEEKNUM(A956,2))</f>
        <v/>
      </c>
      <c r="H956" s="49">
        <f>IF(A956="","",DATE(YEAR(A956),MONTH(A956),1))</f>
        <v/>
      </c>
    </row>
    <row r="957">
      <c r="A957" s="48" t="n"/>
      <c r="B957" s="44" t="n"/>
      <c r="C957" s="44" t="n"/>
      <c r="D957" s="45" t="n"/>
      <c r="E957" s="44" t="n"/>
      <c r="F957" s="23">
        <f>IF(B957="","",IFERROR(INDEX(Cat_Tipo,MATCH(B957,Lista_Categorias,0)),"Deseo"))</f>
        <v/>
      </c>
      <c r="G957" s="23">
        <f>IF(A957="","",WEEKNUM(A957,2))</f>
        <v/>
      </c>
      <c r="H957" s="49">
        <f>IF(A957="","",DATE(YEAR(A957),MONTH(A957),1))</f>
        <v/>
      </c>
    </row>
    <row r="958">
      <c r="A958" s="48" t="n"/>
      <c r="B958" s="44" t="n"/>
      <c r="C958" s="44" t="n"/>
      <c r="D958" s="45" t="n"/>
      <c r="E958" s="44" t="n"/>
      <c r="F958" s="23">
        <f>IF(B958="","",IFERROR(INDEX(Cat_Tipo,MATCH(B958,Lista_Categorias,0)),"Deseo"))</f>
        <v/>
      </c>
      <c r="G958" s="23">
        <f>IF(A958="","",WEEKNUM(A958,2))</f>
        <v/>
      </c>
      <c r="H958" s="49">
        <f>IF(A958="","",DATE(YEAR(A958),MONTH(A958),1))</f>
        <v/>
      </c>
    </row>
    <row r="959">
      <c r="A959" s="48" t="n"/>
      <c r="B959" s="44" t="n"/>
      <c r="C959" s="44" t="n"/>
      <c r="D959" s="45" t="n"/>
      <c r="E959" s="44" t="n"/>
      <c r="F959" s="23">
        <f>IF(B959="","",IFERROR(INDEX(Cat_Tipo,MATCH(B959,Lista_Categorias,0)),"Deseo"))</f>
        <v/>
      </c>
      <c r="G959" s="23">
        <f>IF(A959="","",WEEKNUM(A959,2))</f>
        <v/>
      </c>
      <c r="H959" s="49">
        <f>IF(A959="","",DATE(YEAR(A959),MONTH(A959),1))</f>
        <v/>
      </c>
    </row>
    <row r="960">
      <c r="A960" s="48" t="n"/>
      <c r="B960" s="44" t="n"/>
      <c r="C960" s="44" t="n"/>
      <c r="D960" s="45" t="n"/>
      <c r="E960" s="44" t="n"/>
      <c r="F960" s="23">
        <f>IF(B960="","",IFERROR(INDEX(Cat_Tipo,MATCH(B960,Lista_Categorias,0)),"Deseo"))</f>
        <v/>
      </c>
      <c r="G960" s="23">
        <f>IF(A960="","",WEEKNUM(A960,2))</f>
        <v/>
      </c>
      <c r="H960" s="49">
        <f>IF(A960="","",DATE(YEAR(A960),MONTH(A960),1))</f>
        <v/>
      </c>
    </row>
    <row r="961">
      <c r="A961" s="48" t="n"/>
      <c r="B961" s="44" t="n"/>
      <c r="C961" s="44" t="n"/>
      <c r="D961" s="45" t="n"/>
      <c r="E961" s="44" t="n"/>
      <c r="F961" s="23">
        <f>IF(B961="","",IFERROR(INDEX(Cat_Tipo,MATCH(B961,Lista_Categorias,0)),"Deseo"))</f>
        <v/>
      </c>
      <c r="G961" s="23">
        <f>IF(A961="","",WEEKNUM(A961,2))</f>
        <v/>
      </c>
      <c r="H961" s="49">
        <f>IF(A961="","",DATE(YEAR(A961),MONTH(A961),1))</f>
        <v/>
      </c>
    </row>
    <row r="962">
      <c r="A962" s="48" t="n"/>
      <c r="B962" s="44" t="n"/>
      <c r="C962" s="44" t="n"/>
      <c r="D962" s="45" t="n"/>
      <c r="E962" s="44" t="n"/>
      <c r="F962" s="23">
        <f>IF(B962="","",IFERROR(INDEX(Cat_Tipo,MATCH(B962,Lista_Categorias,0)),"Deseo"))</f>
        <v/>
      </c>
      <c r="G962" s="23">
        <f>IF(A962="","",WEEKNUM(A962,2))</f>
        <v/>
      </c>
      <c r="H962" s="49">
        <f>IF(A962="","",DATE(YEAR(A962),MONTH(A962),1))</f>
        <v/>
      </c>
    </row>
    <row r="963">
      <c r="A963" s="48" t="n"/>
      <c r="B963" s="44" t="n"/>
      <c r="C963" s="44" t="n"/>
      <c r="D963" s="45" t="n"/>
      <c r="E963" s="44" t="n"/>
      <c r="F963" s="23">
        <f>IF(B963="","",IFERROR(INDEX(Cat_Tipo,MATCH(B963,Lista_Categorias,0)),"Deseo"))</f>
        <v/>
      </c>
      <c r="G963" s="23">
        <f>IF(A963="","",WEEKNUM(A963,2))</f>
        <v/>
      </c>
      <c r="H963" s="49">
        <f>IF(A963="","",DATE(YEAR(A963),MONTH(A963),1))</f>
        <v/>
      </c>
    </row>
    <row r="964">
      <c r="A964" s="48" t="n"/>
      <c r="B964" s="44" t="n"/>
      <c r="C964" s="44" t="n"/>
      <c r="D964" s="45" t="n"/>
      <c r="E964" s="44" t="n"/>
      <c r="F964" s="23">
        <f>IF(B964="","",IFERROR(INDEX(Cat_Tipo,MATCH(B964,Lista_Categorias,0)),"Deseo"))</f>
        <v/>
      </c>
      <c r="G964" s="23">
        <f>IF(A964="","",WEEKNUM(A964,2))</f>
        <v/>
      </c>
      <c r="H964" s="49">
        <f>IF(A964="","",DATE(YEAR(A964),MONTH(A964),1))</f>
        <v/>
      </c>
    </row>
    <row r="965">
      <c r="A965" s="48" t="n"/>
      <c r="B965" s="44" t="n"/>
      <c r="C965" s="44" t="n"/>
      <c r="D965" s="45" t="n"/>
      <c r="E965" s="44" t="n"/>
      <c r="F965" s="23">
        <f>IF(B965="","",IFERROR(INDEX(Cat_Tipo,MATCH(B965,Lista_Categorias,0)),"Deseo"))</f>
        <v/>
      </c>
      <c r="G965" s="23">
        <f>IF(A965="","",WEEKNUM(A965,2))</f>
        <v/>
      </c>
      <c r="H965" s="49">
        <f>IF(A965="","",DATE(YEAR(A965),MONTH(A965),1))</f>
        <v/>
      </c>
    </row>
    <row r="966">
      <c r="A966" s="48" t="n"/>
      <c r="B966" s="44" t="n"/>
      <c r="C966" s="44" t="n"/>
      <c r="D966" s="45" t="n"/>
      <c r="E966" s="44" t="n"/>
      <c r="F966" s="23">
        <f>IF(B966="","",IFERROR(INDEX(Cat_Tipo,MATCH(B966,Lista_Categorias,0)),"Deseo"))</f>
        <v/>
      </c>
      <c r="G966" s="23">
        <f>IF(A966="","",WEEKNUM(A966,2))</f>
        <v/>
      </c>
      <c r="H966" s="49">
        <f>IF(A966="","",DATE(YEAR(A966),MONTH(A966),1))</f>
        <v/>
      </c>
    </row>
    <row r="967">
      <c r="A967" s="48" t="n"/>
      <c r="B967" s="44" t="n"/>
      <c r="C967" s="44" t="n"/>
      <c r="D967" s="45" t="n"/>
      <c r="E967" s="44" t="n"/>
      <c r="F967" s="23">
        <f>IF(B967="","",IFERROR(INDEX(Cat_Tipo,MATCH(B967,Lista_Categorias,0)),"Deseo"))</f>
        <v/>
      </c>
      <c r="G967" s="23">
        <f>IF(A967="","",WEEKNUM(A967,2))</f>
        <v/>
      </c>
      <c r="H967" s="49">
        <f>IF(A967="","",DATE(YEAR(A967),MONTH(A967),1))</f>
        <v/>
      </c>
    </row>
    <row r="968">
      <c r="A968" s="48" t="n"/>
      <c r="B968" s="44" t="n"/>
      <c r="C968" s="44" t="n"/>
      <c r="D968" s="45" t="n"/>
      <c r="E968" s="44" t="n"/>
      <c r="F968" s="23">
        <f>IF(B968="","",IFERROR(INDEX(Cat_Tipo,MATCH(B968,Lista_Categorias,0)),"Deseo"))</f>
        <v/>
      </c>
      <c r="G968" s="23">
        <f>IF(A968="","",WEEKNUM(A968,2))</f>
        <v/>
      </c>
      <c r="H968" s="49">
        <f>IF(A968="","",DATE(YEAR(A968),MONTH(A968),1))</f>
        <v/>
      </c>
    </row>
    <row r="969">
      <c r="A969" s="48" t="n"/>
      <c r="B969" s="44" t="n"/>
      <c r="C969" s="44" t="n"/>
      <c r="D969" s="45" t="n"/>
      <c r="E969" s="44" t="n"/>
      <c r="F969" s="23">
        <f>IF(B969="","",IFERROR(INDEX(Cat_Tipo,MATCH(B969,Lista_Categorias,0)),"Deseo"))</f>
        <v/>
      </c>
      <c r="G969" s="23">
        <f>IF(A969="","",WEEKNUM(A969,2))</f>
        <v/>
      </c>
      <c r="H969" s="49">
        <f>IF(A969="","",DATE(YEAR(A969),MONTH(A969),1))</f>
        <v/>
      </c>
    </row>
    <row r="970">
      <c r="A970" s="48" t="n"/>
      <c r="B970" s="44" t="n"/>
      <c r="C970" s="44" t="n"/>
      <c r="D970" s="45" t="n"/>
      <c r="E970" s="44" t="n"/>
      <c r="F970" s="23">
        <f>IF(B970="","",IFERROR(INDEX(Cat_Tipo,MATCH(B970,Lista_Categorias,0)),"Deseo"))</f>
        <v/>
      </c>
      <c r="G970" s="23">
        <f>IF(A970="","",WEEKNUM(A970,2))</f>
        <v/>
      </c>
      <c r="H970" s="49">
        <f>IF(A970="","",DATE(YEAR(A970),MONTH(A970),1))</f>
        <v/>
      </c>
    </row>
    <row r="971">
      <c r="A971" s="48" t="n"/>
      <c r="B971" s="44" t="n"/>
      <c r="C971" s="44" t="n"/>
      <c r="D971" s="45" t="n"/>
      <c r="E971" s="44" t="n"/>
      <c r="F971" s="23">
        <f>IF(B971="","",IFERROR(INDEX(Cat_Tipo,MATCH(B971,Lista_Categorias,0)),"Deseo"))</f>
        <v/>
      </c>
      <c r="G971" s="23">
        <f>IF(A971="","",WEEKNUM(A971,2))</f>
        <v/>
      </c>
      <c r="H971" s="49">
        <f>IF(A971="","",DATE(YEAR(A971),MONTH(A971),1))</f>
        <v/>
      </c>
    </row>
    <row r="972">
      <c r="A972" s="48" t="n"/>
      <c r="B972" s="44" t="n"/>
      <c r="C972" s="44" t="n"/>
      <c r="D972" s="45" t="n"/>
      <c r="E972" s="44" t="n"/>
      <c r="F972" s="23">
        <f>IF(B972="","",IFERROR(INDEX(Cat_Tipo,MATCH(B972,Lista_Categorias,0)),"Deseo"))</f>
        <v/>
      </c>
      <c r="G972" s="23">
        <f>IF(A972="","",WEEKNUM(A972,2))</f>
        <v/>
      </c>
      <c r="H972" s="49">
        <f>IF(A972="","",DATE(YEAR(A972),MONTH(A972),1))</f>
        <v/>
      </c>
    </row>
    <row r="973">
      <c r="A973" s="48" t="n"/>
      <c r="B973" s="44" t="n"/>
      <c r="C973" s="44" t="n"/>
      <c r="D973" s="45" t="n"/>
      <c r="E973" s="44" t="n"/>
      <c r="F973" s="23">
        <f>IF(B973="","",IFERROR(INDEX(Cat_Tipo,MATCH(B973,Lista_Categorias,0)),"Deseo"))</f>
        <v/>
      </c>
      <c r="G973" s="23">
        <f>IF(A973="","",WEEKNUM(A973,2))</f>
        <v/>
      </c>
      <c r="H973" s="49">
        <f>IF(A973="","",DATE(YEAR(A973),MONTH(A973),1))</f>
        <v/>
      </c>
    </row>
    <row r="974">
      <c r="A974" s="48" t="n"/>
      <c r="B974" s="44" t="n"/>
      <c r="C974" s="44" t="n"/>
      <c r="D974" s="45" t="n"/>
      <c r="E974" s="44" t="n"/>
      <c r="F974" s="23">
        <f>IF(B974="","",IFERROR(INDEX(Cat_Tipo,MATCH(B974,Lista_Categorias,0)),"Deseo"))</f>
        <v/>
      </c>
      <c r="G974" s="23">
        <f>IF(A974="","",WEEKNUM(A974,2))</f>
        <v/>
      </c>
      <c r="H974" s="49">
        <f>IF(A974="","",DATE(YEAR(A974),MONTH(A974),1))</f>
        <v/>
      </c>
    </row>
    <row r="975">
      <c r="A975" s="48" t="n"/>
      <c r="B975" s="44" t="n"/>
      <c r="C975" s="44" t="n"/>
      <c r="D975" s="45" t="n"/>
      <c r="E975" s="44" t="n"/>
      <c r="F975" s="23">
        <f>IF(B975="","",IFERROR(INDEX(Cat_Tipo,MATCH(B975,Lista_Categorias,0)),"Deseo"))</f>
        <v/>
      </c>
      <c r="G975" s="23">
        <f>IF(A975="","",WEEKNUM(A975,2))</f>
        <v/>
      </c>
      <c r="H975" s="49">
        <f>IF(A975="","",DATE(YEAR(A975),MONTH(A975),1))</f>
        <v/>
      </c>
    </row>
    <row r="976">
      <c r="A976" s="48" t="n"/>
      <c r="B976" s="44" t="n"/>
      <c r="C976" s="44" t="n"/>
      <c r="D976" s="45" t="n"/>
      <c r="E976" s="44" t="n"/>
      <c r="F976" s="23">
        <f>IF(B976="","",IFERROR(INDEX(Cat_Tipo,MATCH(B976,Lista_Categorias,0)),"Deseo"))</f>
        <v/>
      </c>
      <c r="G976" s="23">
        <f>IF(A976="","",WEEKNUM(A976,2))</f>
        <v/>
      </c>
      <c r="H976" s="49">
        <f>IF(A976="","",DATE(YEAR(A976),MONTH(A976),1))</f>
        <v/>
      </c>
    </row>
    <row r="977">
      <c r="A977" s="48" t="n"/>
      <c r="B977" s="44" t="n"/>
      <c r="C977" s="44" t="n"/>
      <c r="D977" s="45" t="n"/>
      <c r="E977" s="44" t="n"/>
      <c r="F977" s="23">
        <f>IF(B977="","",IFERROR(INDEX(Cat_Tipo,MATCH(B977,Lista_Categorias,0)),"Deseo"))</f>
        <v/>
      </c>
      <c r="G977" s="23">
        <f>IF(A977="","",WEEKNUM(A977,2))</f>
        <v/>
      </c>
      <c r="H977" s="49">
        <f>IF(A977="","",DATE(YEAR(A977),MONTH(A977),1))</f>
        <v/>
      </c>
    </row>
    <row r="978">
      <c r="A978" s="48" t="n"/>
      <c r="B978" s="44" t="n"/>
      <c r="C978" s="44" t="n"/>
      <c r="D978" s="45" t="n"/>
      <c r="E978" s="44" t="n"/>
      <c r="F978" s="23">
        <f>IF(B978="","",IFERROR(INDEX(Cat_Tipo,MATCH(B978,Lista_Categorias,0)),"Deseo"))</f>
        <v/>
      </c>
      <c r="G978" s="23">
        <f>IF(A978="","",WEEKNUM(A978,2))</f>
        <v/>
      </c>
      <c r="H978" s="49">
        <f>IF(A978="","",DATE(YEAR(A978),MONTH(A978),1))</f>
        <v/>
      </c>
    </row>
    <row r="979">
      <c r="A979" s="48" t="n"/>
      <c r="B979" s="44" t="n"/>
      <c r="C979" s="44" t="n"/>
      <c r="D979" s="45" t="n"/>
      <c r="E979" s="44" t="n"/>
      <c r="F979" s="23">
        <f>IF(B979="","",IFERROR(INDEX(Cat_Tipo,MATCH(B979,Lista_Categorias,0)),"Deseo"))</f>
        <v/>
      </c>
      <c r="G979" s="23">
        <f>IF(A979="","",WEEKNUM(A979,2))</f>
        <v/>
      </c>
      <c r="H979" s="49">
        <f>IF(A979="","",DATE(YEAR(A979),MONTH(A979),1))</f>
        <v/>
      </c>
    </row>
    <row r="980">
      <c r="A980" s="48" t="n"/>
      <c r="B980" s="44" t="n"/>
      <c r="C980" s="44" t="n"/>
      <c r="D980" s="45" t="n"/>
      <c r="E980" s="44" t="n"/>
      <c r="F980" s="23">
        <f>IF(B980="","",IFERROR(INDEX(Cat_Tipo,MATCH(B980,Lista_Categorias,0)),"Deseo"))</f>
        <v/>
      </c>
      <c r="G980" s="23">
        <f>IF(A980="","",WEEKNUM(A980,2))</f>
        <v/>
      </c>
      <c r="H980" s="49">
        <f>IF(A980="","",DATE(YEAR(A980),MONTH(A980),1))</f>
        <v/>
      </c>
    </row>
    <row r="981">
      <c r="A981" s="48" t="n"/>
      <c r="B981" s="44" t="n"/>
      <c r="C981" s="44" t="n"/>
      <c r="D981" s="45" t="n"/>
      <c r="E981" s="44" t="n"/>
      <c r="F981" s="23">
        <f>IF(B981="","",IFERROR(INDEX(Cat_Tipo,MATCH(B981,Lista_Categorias,0)),"Deseo"))</f>
        <v/>
      </c>
      <c r="G981" s="23">
        <f>IF(A981="","",WEEKNUM(A981,2))</f>
        <v/>
      </c>
      <c r="H981" s="49">
        <f>IF(A981="","",DATE(YEAR(A981),MONTH(A981),1))</f>
        <v/>
      </c>
    </row>
    <row r="982">
      <c r="A982" s="48" t="n"/>
      <c r="B982" s="44" t="n"/>
      <c r="C982" s="44" t="n"/>
      <c r="D982" s="45" t="n"/>
      <c r="E982" s="44" t="n"/>
      <c r="F982" s="23">
        <f>IF(B982="","",IFERROR(INDEX(Cat_Tipo,MATCH(B982,Lista_Categorias,0)),"Deseo"))</f>
        <v/>
      </c>
      <c r="G982" s="23">
        <f>IF(A982="","",WEEKNUM(A982,2))</f>
        <v/>
      </c>
      <c r="H982" s="49">
        <f>IF(A982="","",DATE(YEAR(A982),MONTH(A982),1))</f>
        <v/>
      </c>
    </row>
    <row r="983">
      <c r="A983" s="48" t="n"/>
      <c r="B983" s="44" t="n"/>
      <c r="C983" s="44" t="n"/>
      <c r="D983" s="45" t="n"/>
      <c r="E983" s="44" t="n"/>
      <c r="F983" s="23">
        <f>IF(B983="","",IFERROR(INDEX(Cat_Tipo,MATCH(B983,Lista_Categorias,0)),"Deseo"))</f>
        <v/>
      </c>
      <c r="G983" s="23">
        <f>IF(A983="","",WEEKNUM(A983,2))</f>
        <v/>
      </c>
      <c r="H983" s="49">
        <f>IF(A983="","",DATE(YEAR(A983),MONTH(A983),1))</f>
        <v/>
      </c>
    </row>
    <row r="984">
      <c r="A984" s="48" t="n"/>
      <c r="B984" s="44" t="n"/>
      <c r="C984" s="44" t="n"/>
      <c r="D984" s="45" t="n"/>
      <c r="E984" s="44" t="n"/>
      <c r="F984" s="23">
        <f>IF(B984="","",IFERROR(INDEX(Cat_Tipo,MATCH(B984,Lista_Categorias,0)),"Deseo"))</f>
        <v/>
      </c>
      <c r="G984" s="23">
        <f>IF(A984="","",WEEKNUM(A984,2))</f>
        <v/>
      </c>
      <c r="H984" s="49">
        <f>IF(A984="","",DATE(YEAR(A984),MONTH(A984),1))</f>
        <v/>
      </c>
    </row>
    <row r="985">
      <c r="A985" s="48" t="n"/>
      <c r="B985" s="44" t="n"/>
      <c r="C985" s="44" t="n"/>
      <c r="D985" s="45" t="n"/>
      <c r="E985" s="44" t="n"/>
      <c r="F985" s="23">
        <f>IF(B985="","",IFERROR(INDEX(Cat_Tipo,MATCH(B985,Lista_Categorias,0)),"Deseo"))</f>
        <v/>
      </c>
      <c r="G985" s="23">
        <f>IF(A985="","",WEEKNUM(A985,2))</f>
        <v/>
      </c>
      <c r="H985" s="49">
        <f>IF(A985="","",DATE(YEAR(A985),MONTH(A985),1))</f>
        <v/>
      </c>
    </row>
    <row r="986">
      <c r="A986" s="48" t="n"/>
      <c r="B986" s="44" t="n"/>
      <c r="C986" s="44" t="n"/>
      <c r="D986" s="45" t="n"/>
      <c r="E986" s="44" t="n"/>
      <c r="F986" s="23">
        <f>IF(B986="","",IFERROR(INDEX(Cat_Tipo,MATCH(B986,Lista_Categorias,0)),"Deseo"))</f>
        <v/>
      </c>
      <c r="G986" s="23">
        <f>IF(A986="","",WEEKNUM(A986,2))</f>
        <v/>
      </c>
      <c r="H986" s="49">
        <f>IF(A986="","",DATE(YEAR(A986),MONTH(A986),1))</f>
        <v/>
      </c>
    </row>
    <row r="987">
      <c r="A987" s="48" t="n"/>
      <c r="B987" s="44" t="n"/>
      <c r="C987" s="44" t="n"/>
      <c r="D987" s="45" t="n"/>
      <c r="E987" s="44" t="n"/>
      <c r="F987" s="23">
        <f>IF(B987="","",IFERROR(INDEX(Cat_Tipo,MATCH(B987,Lista_Categorias,0)),"Deseo"))</f>
        <v/>
      </c>
      <c r="G987" s="23">
        <f>IF(A987="","",WEEKNUM(A987,2))</f>
        <v/>
      </c>
      <c r="H987" s="49">
        <f>IF(A987="","",DATE(YEAR(A987),MONTH(A987),1))</f>
        <v/>
      </c>
    </row>
    <row r="988">
      <c r="A988" s="48" t="n"/>
      <c r="B988" s="44" t="n"/>
      <c r="C988" s="44" t="n"/>
      <c r="D988" s="45" t="n"/>
      <c r="E988" s="44" t="n"/>
      <c r="F988" s="23">
        <f>IF(B988="","",IFERROR(INDEX(Cat_Tipo,MATCH(B988,Lista_Categorias,0)),"Deseo"))</f>
        <v/>
      </c>
      <c r="G988" s="23">
        <f>IF(A988="","",WEEKNUM(A988,2))</f>
        <v/>
      </c>
      <c r="H988" s="49">
        <f>IF(A988="","",DATE(YEAR(A988),MONTH(A988),1))</f>
        <v/>
      </c>
    </row>
    <row r="989">
      <c r="A989" s="48" t="n"/>
      <c r="B989" s="44" t="n"/>
      <c r="C989" s="44" t="n"/>
      <c r="D989" s="45" t="n"/>
      <c r="E989" s="44" t="n"/>
      <c r="F989" s="23">
        <f>IF(B989="","",IFERROR(INDEX(Cat_Tipo,MATCH(B989,Lista_Categorias,0)),"Deseo"))</f>
        <v/>
      </c>
      <c r="G989" s="23">
        <f>IF(A989="","",WEEKNUM(A989,2))</f>
        <v/>
      </c>
      <c r="H989" s="49">
        <f>IF(A989="","",DATE(YEAR(A989),MONTH(A989),1))</f>
        <v/>
      </c>
    </row>
    <row r="990">
      <c r="A990" s="48" t="n"/>
      <c r="B990" s="44" t="n"/>
      <c r="C990" s="44" t="n"/>
      <c r="D990" s="45" t="n"/>
      <c r="E990" s="44" t="n"/>
      <c r="F990" s="23">
        <f>IF(B990="","",IFERROR(INDEX(Cat_Tipo,MATCH(B990,Lista_Categorias,0)),"Deseo"))</f>
        <v/>
      </c>
      <c r="G990" s="23">
        <f>IF(A990="","",WEEKNUM(A990,2))</f>
        <v/>
      </c>
      <c r="H990" s="49">
        <f>IF(A990="","",DATE(YEAR(A990),MONTH(A990),1))</f>
        <v/>
      </c>
    </row>
    <row r="991">
      <c r="A991" s="48" t="n"/>
      <c r="B991" s="44" t="n"/>
      <c r="C991" s="44" t="n"/>
      <c r="D991" s="45" t="n"/>
      <c r="E991" s="44" t="n"/>
      <c r="F991" s="23">
        <f>IF(B991="","",IFERROR(INDEX(Cat_Tipo,MATCH(B991,Lista_Categorias,0)),"Deseo"))</f>
        <v/>
      </c>
      <c r="G991" s="23">
        <f>IF(A991="","",WEEKNUM(A991,2))</f>
        <v/>
      </c>
      <c r="H991" s="49">
        <f>IF(A991="","",DATE(YEAR(A991),MONTH(A991),1))</f>
        <v/>
      </c>
    </row>
    <row r="992">
      <c r="A992" s="48" t="n"/>
      <c r="B992" s="44" t="n"/>
      <c r="C992" s="44" t="n"/>
      <c r="D992" s="45" t="n"/>
      <c r="E992" s="44" t="n"/>
      <c r="F992" s="23">
        <f>IF(B992="","",IFERROR(INDEX(Cat_Tipo,MATCH(B992,Lista_Categorias,0)),"Deseo"))</f>
        <v/>
      </c>
      <c r="G992" s="23">
        <f>IF(A992="","",WEEKNUM(A992,2))</f>
        <v/>
      </c>
      <c r="H992" s="49">
        <f>IF(A992="","",DATE(YEAR(A992),MONTH(A992),1))</f>
        <v/>
      </c>
    </row>
    <row r="993">
      <c r="A993" s="48" t="n"/>
      <c r="B993" s="44" t="n"/>
      <c r="C993" s="44" t="n"/>
      <c r="D993" s="45" t="n"/>
      <c r="E993" s="44" t="n"/>
      <c r="F993" s="23">
        <f>IF(B993="","",IFERROR(INDEX(Cat_Tipo,MATCH(B993,Lista_Categorias,0)),"Deseo"))</f>
        <v/>
      </c>
      <c r="G993" s="23">
        <f>IF(A993="","",WEEKNUM(A993,2))</f>
        <v/>
      </c>
      <c r="H993" s="49">
        <f>IF(A993="","",DATE(YEAR(A993),MONTH(A993),1))</f>
        <v/>
      </c>
    </row>
    <row r="994">
      <c r="A994" s="48" t="n"/>
      <c r="B994" s="44" t="n"/>
      <c r="C994" s="44" t="n"/>
      <c r="D994" s="45" t="n"/>
      <c r="E994" s="44" t="n"/>
      <c r="F994" s="23">
        <f>IF(B994="","",IFERROR(INDEX(Cat_Tipo,MATCH(B994,Lista_Categorias,0)),"Deseo"))</f>
        <v/>
      </c>
      <c r="G994" s="23">
        <f>IF(A994="","",WEEKNUM(A994,2))</f>
        <v/>
      </c>
      <c r="H994" s="49">
        <f>IF(A994="","",DATE(YEAR(A994),MONTH(A994),1))</f>
        <v/>
      </c>
    </row>
    <row r="995">
      <c r="A995" s="48" t="n"/>
      <c r="B995" s="44" t="n"/>
      <c r="C995" s="44" t="n"/>
      <c r="D995" s="45" t="n"/>
      <c r="E995" s="44" t="n"/>
      <c r="F995" s="23">
        <f>IF(B995="","",IFERROR(INDEX(Cat_Tipo,MATCH(B995,Lista_Categorias,0)),"Deseo"))</f>
        <v/>
      </c>
      <c r="G995" s="23">
        <f>IF(A995="","",WEEKNUM(A995,2))</f>
        <v/>
      </c>
      <c r="H995" s="49">
        <f>IF(A995="","",DATE(YEAR(A995),MONTH(A995),1))</f>
        <v/>
      </c>
    </row>
    <row r="996">
      <c r="A996" s="48" t="n"/>
      <c r="B996" s="44" t="n"/>
      <c r="C996" s="44" t="n"/>
      <c r="D996" s="45" t="n"/>
      <c r="E996" s="44" t="n"/>
      <c r="F996" s="23">
        <f>IF(B996="","",IFERROR(INDEX(Cat_Tipo,MATCH(B996,Lista_Categorias,0)),"Deseo"))</f>
        <v/>
      </c>
      <c r="G996" s="23">
        <f>IF(A996="","",WEEKNUM(A996,2))</f>
        <v/>
      </c>
      <c r="H996" s="49">
        <f>IF(A996="","",DATE(YEAR(A996),MONTH(A996),1))</f>
        <v/>
      </c>
    </row>
    <row r="997">
      <c r="A997" s="48" t="n"/>
      <c r="B997" s="44" t="n"/>
      <c r="C997" s="44" t="n"/>
      <c r="D997" s="45" t="n"/>
      <c r="E997" s="44" t="n"/>
      <c r="F997" s="23">
        <f>IF(B997="","",IFERROR(INDEX(Cat_Tipo,MATCH(B997,Lista_Categorias,0)),"Deseo"))</f>
        <v/>
      </c>
      <c r="G997" s="23">
        <f>IF(A997="","",WEEKNUM(A997,2))</f>
        <v/>
      </c>
      <c r="H997" s="49">
        <f>IF(A997="","",DATE(YEAR(A997),MONTH(A997),1))</f>
        <v/>
      </c>
    </row>
    <row r="998">
      <c r="A998" s="48" t="n"/>
      <c r="B998" s="44" t="n"/>
      <c r="C998" s="44" t="n"/>
      <c r="D998" s="45" t="n"/>
      <c r="E998" s="44" t="n"/>
      <c r="F998" s="23">
        <f>IF(B998="","",IFERROR(INDEX(Cat_Tipo,MATCH(B998,Lista_Categorias,0)),"Deseo"))</f>
        <v/>
      </c>
      <c r="G998" s="23">
        <f>IF(A998="","",WEEKNUM(A998,2))</f>
        <v/>
      </c>
      <c r="H998" s="49">
        <f>IF(A998="","",DATE(YEAR(A998),MONTH(A998),1))</f>
        <v/>
      </c>
    </row>
    <row r="999">
      <c r="A999" s="48" t="n"/>
      <c r="B999" s="44" t="n"/>
      <c r="C999" s="44" t="n"/>
      <c r="D999" s="45" t="n"/>
      <c r="E999" s="44" t="n"/>
      <c r="F999" s="23">
        <f>IF(B999="","",IFERROR(INDEX(Cat_Tipo,MATCH(B999,Lista_Categorias,0)),"Deseo"))</f>
        <v/>
      </c>
      <c r="G999" s="23">
        <f>IF(A999="","",WEEKNUM(A999,2))</f>
        <v/>
      </c>
      <c r="H999" s="49">
        <f>IF(A999="","",DATE(YEAR(A999),MONTH(A999),1))</f>
        <v/>
      </c>
    </row>
    <row r="1000">
      <c r="A1000" s="48" t="n"/>
      <c r="B1000" s="44" t="n"/>
      <c r="C1000" s="44" t="n"/>
      <c r="D1000" s="45" t="n"/>
      <c r="E1000" s="44" t="n"/>
      <c r="F1000" s="23">
        <f>IF(B1000="","",IFERROR(INDEX(Cat_Tipo,MATCH(B1000,Lista_Categorias,0)),"Deseo"))</f>
        <v/>
      </c>
      <c r="G1000" s="23">
        <f>IF(A1000="","",WEEKNUM(A1000,2))</f>
        <v/>
      </c>
      <c r="H1000" s="49">
        <f>IF(A1000="","",DATE(YEAR(A1000),MONTH(A1000),1))</f>
        <v/>
      </c>
    </row>
    <row r="1001">
      <c r="A1001" s="48" t="n"/>
      <c r="B1001" s="44" t="n"/>
      <c r="C1001" s="44" t="n"/>
      <c r="D1001" s="45" t="n"/>
      <c r="E1001" s="44" t="n"/>
      <c r="F1001" s="23">
        <f>IF(B1001="","",IFERROR(INDEX(Cat_Tipo,MATCH(B1001,Lista_Categorias,0)),"Deseo"))</f>
        <v/>
      </c>
      <c r="G1001" s="23">
        <f>IF(A1001="","",WEEKNUM(A1001,2))</f>
        <v/>
      </c>
      <c r="H1001" s="49">
        <f>IF(A1001="","",DATE(YEAR(A1001),MONTH(A1001),1))</f>
        <v/>
      </c>
    </row>
    <row r="1002">
      <c r="A1002" s="48" t="n"/>
      <c r="B1002" s="44" t="n"/>
      <c r="C1002" s="44" t="n"/>
      <c r="D1002" s="45" t="n"/>
      <c r="E1002" s="44" t="n"/>
      <c r="F1002" s="23">
        <f>IF(B1002="","",IFERROR(INDEX(Cat_Tipo,MATCH(B1002,Lista_Categorias,0)),"Deseo"))</f>
        <v/>
      </c>
      <c r="G1002" s="23">
        <f>IF(A1002="","",WEEKNUM(A1002,2))</f>
        <v/>
      </c>
      <c r="H1002" s="49">
        <f>IF(A1002="","",DATE(YEAR(A1002),MONTH(A1002),1))</f>
        <v/>
      </c>
    </row>
    <row r="1003">
      <c r="A1003" s="48" t="n"/>
      <c r="B1003" s="44" t="n"/>
      <c r="C1003" s="44" t="n"/>
      <c r="D1003" s="45" t="n"/>
      <c r="E1003" s="44" t="n"/>
      <c r="F1003" s="23">
        <f>IF(B1003="","",IFERROR(INDEX(Cat_Tipo,MATCH(B1003,Lista_Categorias,0)),"Deseo"))</f>
        <v/>
      </c>
      <c r="G1003" s="23">
        <f>IF(A1003="","",WEEKNUM(A1003,2))</f>
        <v/>
      </c>
      <c r="H1003" s="49">
        <f>IF(A1003="","",DATE(YEAR(A1003),MONTH(A1003),1))</f>
        <v/>
      </c>
    </row>
    <row r="1004">
      <c r="A1004" s="48" t="n"/>
      <c r="B1004" s="44" t="n"/>
      <c r="C1004" s="44" t="n"/>
      <c r="D1004" s="45" t="n"/>
      <c r="E1004" s="44" t="n"/>
      <c r="F1004" s="23">
        <f>IF(B1004="","",IFERROR(INDEX(Cat_Tipo,MATCH(B1004,Lista_Categorias,0)),"Deseo"))</f>
        <v/>
      </c>
      <c r="G1004" s="23">
        <f>IF(A1004="","",WEEKNUM(A1004,2))</f>
        <v/>
      </c>
      <c r="H1004" s="49">
        <f>IF(A1004="","",DATE(YEAR(A1004),MONTH(A1004),1))</f>
        <v/>
      </c>
    </row>
  </sheetData>
  <autoFilter ref="A4:H1004"/>
  <mergeCells count="3">
    <mergeCell ref="J5:M8"/>
    <mergeCell ref="A2:H2"/>
    <mergeCell ref="A1:H1"/>
  </mergeCells>
  <conditionalFormatting sqref="E5:E1004">
    <cfRule type="cellIs" priority="1" operator="equal" dxfId="1">
      <formula>"Tarjeta de crédito"</formula>
    </cfRule>
  </conditionalFormatting>
  <dataValidations count="2">
    <dataValidation sqref="B5:B1004" showDropDown="0" showInputMessage="0" showErrorMessage="0" allowBlank="1" errorTitle="Valor no válido" error="Elige una categoría de la lista (agrégala en Configuración)." type="list">
      <formula1>Lista_Categorias</formula1>
    </dataValidation>
    <dataValidation sqref="E5:E1004" showDropDown="0" showInputMessage="0" showErrorMessage="0" allowBlank="1" type="list">
      <formula1>Lista_Metodos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P31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0" customWidth="1" min="2" max="2"/>
    <col width="15" customWidth="1" min="3" max="3"/>
    <col width="11" customWidth="1" min="4" max="4"/>
    <col width="14" customWidth="1" min="5" max="5"/>
    <col width="15" customWidth="1" min="6" max="6"/>
    <col width="15" customWidth="1" min="7" max="7"/>
    <col width="14" customWidth="1" min="8" max="8"/>
    <col width="10" customWidth="1" min="9" max="9"/>
    <col width="15" customWidth="1" min="10" max="10"/>
    <col width="12" customWidth="1" min="11" max="11"/>
    <col width="14" customWidth="1" min="12" max="12"/>
    <col width="34" customWidth="1" min="13" max="13"/>
    <col hidden="1" width="10" customWidth="1" min="14" max="14"/>
    <col hidden="1" width="12" customWidth="1" min="15" max="15"/>
    <col hidden="1" width="12" customWidth="1" min="16" max="16"/>
  </cols>
  <sheetData>
    <row r="1" ht="34" customHeight="1">
      <c r="A1" s="1" t="inlineStr">
        <is>
          <t>PLAN PARA ELIMINAR DEUDAS</t>
        </is>
      </c>
    </row>
    <row r="2">
      <c r="A2" s="2" t="inlineStr">
        <is>
          <t>Prioridad 1: deudas con intereses (tasa más alta primero). Prioridad 2: préstamos familiares sin intereses (saldo más pequeño primero).</t>
        </is>
      </c>
    </row>
    <row r="4">
      <c r="A4" s="46" t="inlineStr">
        <is>
          <t>Presupuesto del mes para deudas</t>
        </is>
      </c>
      <c r="C4" s="51">
        <f>IF(Deuda_Fija&lt;&gt;"",Deuda_Fija,Resumen!$B$6*Pct_Deuda)</f>
        <v/>
      </c>
      <c r="E4" s="52">
        <f>IF(C4&lt;C5,"⚠ Tu presupuesto no alcanza para los pagos mínimos. Recorta tus gastos tipo Deseo o aumenta tus ingresos.",IF(C6&gt;0,"✔ Aplica el extra de "&amp;TEXT(C6,"$#,##0")&amp;" a la deuda con prioridad 1: así ahorras más intereses.","✔ Cubres tus mínimos."))</f>
        <v/>
      </c>
    </row>
    <row r="5">
      <c r="A5" s="46" t="inlineStr">
        <is>
          <t>Suma de pagos mínimos</t>
        </is>
      </c>
      <c r="C5" s="51">
        <f>SUM(O9:O23)</f>
        <v/>
      </c>
    </row>
    <row r="6">
      <c r="A6" s="46" t="inlineStr">
        <is>
          <t>Dinero extra para la deuda prioritaria</t>
        </is>
      </c>
      <c r="C6" s="51">
        <f>MAX(0,C4-C5)</f>
        <v/>
      </c>
    </row>
    <row r="8" ht="30" customHeight="1">
      <c r="A8" s="15" t="inlineStr">
        <is>
          <t>Deuda</t>
        </is>
      </c>
      <c r="B8" s="15" t="inlineStr">
        <is>
          <t>Tipo</t>
        </is>
      </c>
      <c r="C8" s="15" t="inlineStr">
        <is>
          <t>Saldo inicial</t>
        </is>
      </c>
      <c r="D8" s="15" t="inlineStr">
        <is>
          <t>Tasa anual</t>
        </is>
      </c>
      <c r="E8" s="15" t="inlineStr">
        <is>
          <t>Pago mínimo mensual</t>
        </is>
      </c>
      <c r="F8" s="15" t="inlineStr">
        <is>
          <t>Abonos realizados</t>
        </is>
      </c>
      <c r="G8" s="15" t="inlineStr">
        <is>
          <t>Saldo actual</t>
        </is>
      </c>
      <c r="H8" s="15" t="inlineStr">
        <is>
          <t>Interés mensual estimado</t>
        </is>
      </c>
      <c r="I8" s="15" t="inlineStr">
        <is>
          <t>Prioridad</t>
        </is>
      </c>
      <c r="J8" s="15" t="inlineStr">
        <is>
          <t>Pago sugerido este mes</t>
        </is>
      </c>
      <c r="K8" s="15" t="inlineStr">
        <is>
          <t>Meses para liquidar</t>
        </is>
      </c>
      <c r="L8" s="15" t="inlineStr">
        <is>
          <t>Fecha estimada libre</t>
        </is>
      </c>
      <c r="M8" s="15" t="inlineStr">
        <is>
          <t>Estrategia</t>
        </is>
      </c>
      <c r="N8" s="15" t="inlineStr">
        <is>
          <t>Puntaje</t>
        </is>
      </c>
      <c r="O8" s="15" t="inlineStr">
        <is>
          <t>Mínimo aplicable</t>
        </is>
      </c>
      <c r="P8" s="15" t="inlineStr">
        <is>
          <t>Remanente</t>
        </is>
      </c>
    </row>
    <row r="9">
      <c r="A9" s="44" t="inlineStr">
        <is>
          <t>TDC Banco Azul</t>
        </is>
      </c>
      <c r="B9" s="44" t="inlineStr">
        <is>
          <t>Tarjeta de crédito</t>
        </is>
      </c>
      <c r="C9" s="45" t="n">
        <v>18500</v>
      </c>
      <c r="D9" s="53" t="n">
        <v>0.62</v>
      </c>
      <c r="E9" s="45" t="n">
        <v>1200</v>
      </c>
      <c r="F9" s="29">
        <f>IF(A9="",0,SUMIF('Abonos a Deudas'!$B$5:$B$304,A9,'Abonos a Deudas'!$C$5:$C$304))</f>
        <v/>
      </c>
      <c r="G9" s="29">
        <f>IF(A9="","",MAX(0,C9-F9))</f>
        <v/>
      </c>
      <c r="H9" s="29">
        <f>IF(A9="","",G9*D9/12)</f>
        <v/>
      </c>
      <c r="I9" s="54">
        <f>IF(OR(A9="",N(G9)&lt;=0),"",COUNTIF($N$9:$N$23,"&gt;"&amp;N9)+COUNTIF($N$9:N9,N9))</f>
        <v/>
      </c>
      <c r="J9" s="29">
        <f>IF(I9="",0,O9+MIN(P9,MAX(0,$C$6-SUMIF($I$9:$I$23,"&lt;"&amp;I9,$P$9:$P$23))))</f>
        <v/>
      </c>
      <c r="K9" s="54">
        <f>IF(A9="","",IF(N(G9)&lt;=0,0,IF(J9&lt;=0,"Después de las anteriores",IF(D9=0,ROUNDUP(G9/J9,0),IF(J9&lt;=H9,"Nunca: pago &lt; interés",ROUNDUP(NPER(D9/12,-J9,G9),0))))))</f>
        <v/>
      </c>
      <c r="L9" s="49">
        <f>IF(ISNUMBER(K9),EDATE(Mes_Analisis,K9),"")</f>
        <v/>
      </c>
      <c r="M9" s="24">
        <f>IF(A9="","",IF(N(G9)&lt;=0,"✅ ¡Liquidada! Celébralo",IF(I9=1,"🎯 Ataca aquí: todo el dinero extra",IF(D9&gt;0,"Paga el mínimo: genera intereses","Sin intereses: en segundo plano"))))</f>
        <v/>
      </c>
      <c r="N9" s="55">
        <f>IF(A9="","",IF(G9&lt;=0,-1,IF(D9&gt;0,1+D9,1/(1+G9))))</f>
        <v/>
      </c>
      <c r="O9" s="29">
        <f>IF(OR(A9="",N(G9)&lt;=0),0,MIN(G9,E9))</f>
        <v/>
      </c>
      <c r="P9" s="29">
        <f>IF(OR(A9="",N(G9)&lt;=0),0,G9-O9)</f>
        <v/>
      </c>
    </row>
    <row r="10">
      <c r="A10" s="44" t="inlineStr">
        <is>
          <t>TDC Tienda departamental</t>
        </is>
      </c>
      <c r="B10" s="44" t="inlineStr">
        <is>
          <t>Tarjeta de crédito</t>
        </is>
      </c>
      <c r="C10" s="45" t="n">
        <v>6200</v>
      </c>
      <c r="D10" s="53" t="n">
        <v>0.85</v>
      </c>
      <c r="E10" s="45" t="n">
        <v>650</v>
      </c>
      <c r="F10" s="29">
        <f>IF(A10="",0,SUMIF('Abonos a Deudas'!$B$5:$B$304,A10,'Abonos a Deudas'!$C$5:$C$304))</f>
        <v/>
      </c>
      <c r="G10" s="29">
        <f>IF(A10="","",MAX(0,C10-F10))</f>
        <v/>
      </c>
      <c r="H10" s="29">
        <f>IF(A10="","",G10*D10/12)</f>
        <v/>
      </c>
      <c r="I10" s="54">
        <f>IF(OR(A10="",N(G10)&lt;=0),"",COUNTIF($N$9:$N$23,"&gt;"&amp;N10)+COUNTIF($N$9:N10,N10))</f>
        <v/>
      </c>
      <c r="J10" s="29">
        <f>IF(I10="",0,O10+MIN(P10,MAX(0,$C$6-SUMIF($I$9:$I$23,"&lt;"&amp;I10,$P$9:$P$23))))</f>
        <v/>
      </c>
      <c r="K10" s="54">
        <f>IF(A10="","",IF(N(G10)&lt;=0,0,IF(J10&lt;=0,"Después de las anteriores",IF(D10=0,ROUNDUP(G10/J10,0),IF(J10&lt;=H10,"Nunca: pago &lt; interés",ROUNDUP(NPER(D10/12,-J10,G10),0))))))</f>
        <v/>
      </c>
      <c r="L10" s="49">
        <f>IF(ISNUMBER(K10),EDATE(Mes_Analisis,K10),"")</f>
        <v/>
      </c>
      <c r="M10" s="24">
        <f>IF(A10="","",IF(N(G10)&lt;=0,"✅ ¡Liquidada! Celébralo",IF(I10=1,"🎯 Ataca aquí: todo el dinero extra",IF(D10&gt;0,"Paga el mínimo: genera intereses","Sin intereses: en segundo plano"))))</f>
        <v/>
      </c>
      <c r="N10" s="55">
        <f>IF(A10="","",IF(G10&lt;=0,-1,IF(D10&gt;0,1+D10,1/(1+G10))))</f>
        <v/>
      </c>
      <c r="O10" s="29">
        <f>IF(OR(A10="",N(G10)&lt;=0),0,MIN(G10,E10))</f>
        <v/>
      </c>
      <c r="P10" s="29">
        <f>IF(OR(A10="",N(G10)&lt;=0),0,G10-O10)</f>
        <v/>
      </c>
    </row>
    <row r="11">
      <c r="A11" s="44" t="inlineStr">
        <is>
          <t>Préstamo personal</t>
        </is>
      </c>
      <c r="B11" s="44" t="inlineStr">
        <is>
          <t>Préstamo personal</t>
        </is>
      </c>
      <c r="C11" s="45" t="n">
        <v>25000</v>
      </c>
      <c r="D11" s="53" t="n">
        <v>0.28</v>
      </c>
      <c r="E11" s="45" t="n">
        <v>1500</v>
      </c>
      <c r="F11" s="29">
        <f>IF(A11="",0,SUMIF('Abonos a Deudas'!$B$5:$B$304,A11,'Abonos a Deudas'!$C$5:$C$304))</f>
        <v/>
      </c>
      <c r="G11" s="29">
        <f>IF(A11="","",MAX(0,C11-F11))</f>
        <v/>
      </c>
      <c r="H11" s="29">
        <f>IF(A11="","",G11*D11/12)</f>
        <v/>
      </c>
      <c r="I11" s="54">
        <f>IF(OR(A11="",N(G11)&lt;=0),"",COUNTIF($N$9:$N$23,"&gt;"&amp;N11)+COUNTIF($N$9:N11,N11))</f>
        <v/>
      </c>
      <c r="J11" s="29">
        <f>IF(I11="",0,O11+MIN(P11,MAX(0,$C$6-SUMIF($I$9:$I$23,"&lt;"&amp;I11,$P$9:$P$23))))</f>
        <v/>
      </c>
      <c r="K11" s="54">
        <f>IF(A11="","",IF(N(G11)&lt;=0,0,IF(J11&lt;=0,"Después de las anteriores",IF(D11=0,ROUNDUP(G11/J11,0),IF(J11&lt;=H11,"Nunca: pago &lt; interés",ROUNDUP(NPER(D11/12,-J11,G11),0))))))</f>
        <v/>
      </c>
      <c r="L11" s="49">
        <f>IF(ISNUMBER(K11),EDATE(Mes_Analisis,K11),"")</f>
        <v/>
      </c>
      <c r="M11" s="24">
        <f>IF(A11="","",IF(N(G11)&lt;=0,"✅ ¡Liquidada! Celébralo",IF(I11=1,"🎯 Ataca aquí: todo el dinero extra",IF(D11&gt;0,"Paga el mínimo: genera intereses","Sin intereses: en segundo plano"))))</f>
        <v/>
      </c>
      <c r="N11" s="55">
        <f>IF(A11="","",IF(G11&lt;=0,-1,IF(D11&gt;0,1+D11,1/(1+G11))))</f>
        <v/>
      </c>
      <c r="O11" s="29">
        <f>IF(OR(A11="",N(G11)&lt;=0),0,MIN(G11,E11))</f>
        <v/>
      </c>
      <c r="P11" s="29">
        <f>IF(OR(A11="",N(G11)&lt;=0),0,G11-O11)</f>
        <v/>
      </c>
    </row>
    <row r="12">
      <c r="A12" s="44" t="inlineStr">
        <is>
          <t>Préstamo mamá</t>
        </is>
      </c>
      <c r="B12" s="44" t="inlineStr">
        <is>
          <t>Préstamo familiar</t>
        </is>
      </c>
      <c r="C12" s="45" t="n">
        <v>10000</v>
      </c>
      <c r="D12" s="53" t="n">
        <v>0</v>
      </c>
      <c r="E12" s="45" t="n">
        <v>0</v>
      </c>
      <c r="F12" s="29">
        <f>IF(A12="",0,SUMIF('Abonos a Deudas'!$B$5:$B$304,A12,'Abonos a Deudas'!$C$5:$C$304))</f>
        <v/>
      </c>
      <c r="G12" s="29">
        <f>IF(A12="","",MAX(0,C12-F12))</f>
        <v/>
      </c>
      <c r="H12" s="29">
        <f>IF(A12="","",G12*D12/12)</f>
        <v/>
      </c>
      <c r="I12" s="54">
        <f>IF(OR(A12="",N(G12)&lt;=0),"",COUNTIF($N$9:$N$23,"&gt;"&amp;N12)+COUNTIF($N$9:N12,N12))</f>
        <v/>
      </c>
      <c r="J12" s="29">
        <f>IF(I12="",0,O12+MIN(P12,MAX(0,$C$6-SUMIF($I$9:$I$23,"&lt;"&amp;I12,$P$9:$P$23))))</f>
        <v/>
      </c>
      <c r="K12" s="54">
        <f>IF(A12="","",IF(N(G12)&lt;=0,0,IF(J12&lt;=0,"Después de las anteriores",IF(D12=0,ROUNDUP(G12/J12,0),IF(J12&lt;=H12,"Nunca: pago &lt; interés",ROUNDUP(NPER(D12/12,-J12,G12),0))))))</f>
        <v/>
      </c>
      <c r="L12" s="49">
        <f>IF(ISNUMBER(K12),EDATE(Mes_Analisis,K12),"")</f>
        <v/>
      </c>
      <c r="M12" s="24">
        <f>IF(A12="","",IF(N(G12)&lt;=0,"✅ ¡Liquidada! Celébralo",IF(I12=1,"🎯 Ataca aquí: todo el dinero extra",IF(D12&gt;0,"Paga el mínimo: genera intereses","Sin intereses: en segundo plano"))))</f>
        <v/>
      </c>
      <c r="N12" s="55">
        <f>IF(A12="","",IF(G12&lt;=0,-1,IF(D12&gt;0,1+D12,1/(1+G12))))</f>
        <v/>
      </c>
      <c r="O12" s="29">
        <f>IF(OR(A12="",N(G12)&lt;=0),0,MIN(G12,E12))</f>
        <v/>
      </c>
      <c r="P12" s="29">
        <f>IF(OR(A12="",N(G12)&lt;=0),0,G12-O12)</f>
        <v/>
      </c>
    </row>
    <row r="13">
      <c r="A13" s="44" t="inlineStr">
        <is>
          <t>Préstamo hermano</t>
        </is>
      </c>
      <c r="B13" s="44" t="inlineStr">
        <is>
          <t>Préstamo familiar</t>
        </is>
      </c>
      <c r="C13" s="45" t="n">
        <v>4000</v>
      </c>
      <c r="D13" s="53" t="n">
        <v>0</v>
      </c>
      <c r="E13" s="45" t="n">
        <v>500</v>
      </c>
      <c r="F13" s="29">
        <f>IF(A13="",0,SUMIF('Abonos a Deudas'!$B$5:$B$304,A13,'Abonos a Deudas'!$C$5:$C$304))</f>
        <v/>
      </c>
      <c r="G13" s="29">
        <f>IF(A13="","",MAX(0,C13-F13))</f>
        <v/>
      </c>
      <c r="H13" s="29">
        <f>IF(A13="","",G13*D13/12)</f>
        <v/>
      </c>
      <c r="I13" s="54">
        <f>IF(OR(A13="",N(G13)&lt;=0),"",COUNTIF($N$9:$N$23,"&gt;"&amp;N13)+COUNTIF($N$9:N13,N13))</f>
        <v/>
      </c>
      <c r="J13" s="29">
        <f>IF(I13="",0,O13+MIN(P13,MAX(0,$C$6-SUMIF($I$9:$I$23,"&lt;"&amp;I13,$P$9:$P$23))))</f>
        <v/>
      </c>
      <c r="K13" s="54">
        <f>IF(A13="","",IF(N(G13)&lt;=0,0,IF(J13&lt;=0,"Después de las anteriores",IF(D13=0,ROUNDUP(G13/J13,0),IF(J13&lt;=H13,"Nunca: pago &lt; interés",ROUNDUP(NPER(D13/12,-J13,G13),0))))))</f>
        <v/>
      </c>
      <c r="L13" s="49">
        <f>IF(ISNUMBER(K13),EDATE(Mes_Analisis,K13),"")</f>
        <v/>
      </c>
      <c r="M13" s="24">
        <f>IF(A13="","",IF(N(G13)&lt;=0,"✅ ¡Liquidada! Celébralo",IF(I13=1,"🎯 Ataca aquí: todo el dinero extra",IF(D13&gt;0,"Paga el mínimo: genera intereses","Sin intereses: en segundo plano"))))</f>
        <v/>
      </c>
      <c r="N13" s="55">
        <f>IF(A13="","",IF(G13&lt;=0,-1,IF(D13&gt;0,1+D13,1/(1+G13))))</f>
        <v/>
      </c>
      <c r="O13" s="29">
        <f>IF(OR(A13="",N(G13)&lt;=0),0,MIN(G13,E13))</f>
        <v/>
      </c>
      <c r="P13" s="29">
        <f>IF(OR(A13="",N(G13)&lt;=0),0,G13-O13)</f>
        <v/>
      </c>
    </row>
    <row r="14">
      <c r="A14" s="44" t="n"/>
      <c r="B14" s="44" t="n"/>
      <c r="C14" s="45" t="n"/>
      <c r="D14" s="53" t="n"/>
      <c r="E14" s="45" t="n"/>
      <c r="F14" s="29">
        <f>IF(A14="",0,SUMIF('Abonos a Deudas'!$B$5:$B$304,A14,'Abonos a Deudas'!$C$5:$C$304))</f>
        <v/>
      </c>
      <c r="G14" s="29">
        <f>IF(A14="","",MAX(0,C14-F14))</f>
        <v/>
      </c>
      <c r="H14" s="29">
        <f>IF(A14="","",G14*D14/12)</f>
        <v/>
      </c>
      <c r="I14" s="54">
        <f>IF(OR(A14="",N(G14)&lt;=0),"",COUNTIF($N$9:$N$23,"&gt;"&amp;N14)+COUNTIF($N$9:N14,N14))</f>
        <v/>
      </c>
      <c r="J14" s="29">
        <f>IF(I14="",0,O14+MIN(P14,MAX(0,$C$6-SUMIF($I$9:$I$23,"&lt;"&amp;I14,$P$9:$P$23))))</f>
        <v/>
      </c>
      <c r="K14" s="54">
        <f>IF(A14="","",IF(N(G14)&lt;=0,0,IF(J14&lt;=0,"Después de las anteriores",IF(D14=0,ROUNDUP(G14/J14,0),IF(J14&lt;=H14,"Nunca: pago &lt; interés",ROUNDUP(NPER(D14/12,-J14,G14),0))))))</f>
        <v/>
      </c>
      <c r="L14" s="49">
        <f>IF(ISNUMBER(K14),EDATE(Mes_Analisis,K14),"")</f>
        <v/>
      </c>
      <c r="M14" s="24">
        <f>IF(A14="","",IF(N(G14)&lt;=0,"✅ ¡Liquidada! Celébralo",IF(I14=1,"🎯 Ataca aquí: todo el dinero extra",IF(D14&gt;0,"Paga el mínimo: genera intereses","Sin intereses: en segundo plano"))))</f>
        <v/>
      </c>
      <c r="N14" s="55">
        <f>IF(A14="","",IF(G14&lt;=0,-1,IF(D14&gt;0,1+D14,1/(1+G14))))</f>
        <v/>
      </c>
      <c r="O14" s="29">
        <f>IF(OR(A14="",N(G14)&lt;=0),0,MIN(G14,E14))</f>
        <v/>
      </c>
      <c r="P14" s="29">
        <f>IF(OR(A14="",N(G14)&lt;=0),0,G14-O14)</f>
        <v/>
      </c>
    </row>
    <row r="15">
      <c r="A15" s="44" t="n"/>
      <c r="B15" s="44" t="n"/>
      <c r="C15" s="45" t="n"/>
      <c r="D15" s="53" t="n"/>
      <c r="E15" s="45" t="n"/>
      <c r="F15" s="29">
        <f>IF(A15="",0,SUMIF('Abonos a Deudas'!$B$5:$B$304,A15,'Abonos a Deudas'!$C$5:$C$304))</f>
        <v/>
      </c>
      <c r="G15" s="29">
        <f>IF(A15="","",MAX(0,C15-F15))</f>
        <v/>
      </c>
      <c r="H15" s="29">
        <f>IF(A15="","",G15*D15/12)</f>
        <v/>
      </c>
      <c r="I15" s="54">
        <f>IF(OR(A15="",N(G15)&lt;=0),"",COUNTIF($N$9:$N$23,"&gt;"&amp;N15)+COUNTIF($N$9:N15,N15))</f>
        <v/>
      </c>
      <c r="J15" s="29">
        <f>IF(I15="",0,O15+MIN(P15,MAX(0,$C$6-SUMIF($I$9:$I$23,"&lt;"&amp;I15,$P$9:$P$23))))</f>
        <v/>
      </c>
      <c r="K15" s="54">
        <f>IF(A15="","",IF(N(G15)&lt;=0,0,IF(J15&lt;=0,"Después de las anteriores",IF(D15=0,ROUNDUP(G15/J15,0),IF(J15&lt;=H15,"Nunca: pago &lt; interés",ROUNDUP(NPER(D15/12,-J15,G15),0))))))</f>
        <v/>
      </c>
      <c r="L15" s="49">
        <f>IF(ISNUMBER(K15),EDATE(Mes_Analisis,K15),"")</f>
        <v/>
      </c>
      <c r="M15" s="24">
        <f>IF(A15="","",IF(N(G15)&lt;=0,"✅ ¡Liquidada! Celébralo",IF(I15=1,"🎯 Ataca aquí: todo el dinero extra",IF(D15&gt;0,"Paga el mínimo: genera intereses","Sin intereses: en segundo plano"))))</f>
        <v/>
      </c>
      <c r="N15" s="55">
        <f>IF(A15="","",IF(G15&lt;=0,-1,IF(D15&gt;0,1+D15,1/(1+G15))))</f>
        <v/>
      </c>
      <c r="O15" s="29">
        <f>IF(OR(A15="",N(G15)&lt;=0),0,MIN(G15,E15))</f>
        <v/>
      </c>
      <c r="P15" s="29">
        <f>IF(OR(A15="",N(G15)&lt;=0),0,G15-O15)</f>
        <v/>
      </c>
    </row>
    <row r="16">
      <c r="A16" s="44" t="n"/>
      <c r="B16" s="44" t="n"/>
      <c r="C16" s="45" t="n"/>
      <c r="D16" s="53" t="n"/>
      <c r="E16" s="45" t="n"/>
      <c r="F16" s="29">
        <f>IF(A16="",0,SUMIF('Abonos a Deudas'!$B$5:$B$304,A16,'Abonos a Deudas'!$C$5:$C$304))</f>
        <v/>
      </c>
      <c r="G16" s="29">
        <f>IF(A16="","",MAX(0,C16-F16))</f>
        <v/>
      </c>
      <c r="H16" s="29">
        <f>IF(A16="","",G16*D16/12)</f>
        <v/>
      </c>
      <c r="I16" s="54">
        <f>IF(OR(A16="",N(G16)&lt;=0),"",COUNTIF($N$9:$N$23,"&gt;"&amp;N16)+COUNTIF($N$9:N16,N16))</f>
        <v/>
      </c>
      <c r="J16" s="29">
        <f>IF(I16="",0,O16+MIN(P16,MAX(0,$C$6-SUMIF($I$9:$I$23,"&lt;"&amp;I16,$P$9:$P$23))))</f>
        <v/>
      </c>
      <c r="K16" s="54">
        <f>IF(A16="","",IF(N(G16)&lt;=0,0,IF(J16&lt;=0,"Después de las anteriores",IF(D16=0,ROUNDUP(G16/J16,0),IF(J16&lt;=H16,"Nunca: pago &lt; interés",ROUNDUP(NPER(D16/12,-J16,G16),0))))))</f>
        <v/>
      </c>
      <c r="L16" s="49">
        <f>IF(ISNUMBER(K16),EDATE(Mes_Analisis,K16),"")</f>
        <v/>
      </c>
      <c r="M16" s="24">
        <f>IF(A16="","",IF(N(G16)&lt;=0,"✅ ¡Liquidada! Celébralo",IF(I16=1,"🎯 Ataca aquí: todo el dinero extra",IF(D16&gt;0,"Paga el mínimo: genera intereses","Sin intereses: en segundo plano"))))</f>
        <v/>
      </c>
      <c r="N16" s="55">
        <f>IF(A16="","",IF(G16&lt;=0,-1,IF(D16&gt;0,1+D16,1/(1+G16))))</f>
        <v/>
      </c>
      <c r="O16" s="29">
        <f>IF(OR(A16="",N(G16)&lt;=0),0,MIN(G16,E16))</f>
        <v/>
      </c>
      <c r="P16" s="29">
        <f>IF(OR(A16="",N(G16)&lt;=0),0,G16-O16)</f>
        <v/>
      </c>
    </row>
    <row r="17">
      <c r="A17" s="44" t="n"/>
      <c r="B17" s="44" t="n"/>
      <c r="C17" s="45" t="n"/>
      <c r="D17" s="53" t="n"/>
      <c r="E17" s="45" t="n"/>
      <c r="F17" s="29">
        <f>IF(A17="",0,SUMIF('Abonos a Deudas'!$B$5:$B$304,A17,'Abonos a Deudas'!$C$5:$C$304))</f>
        <v/>
      </c>
      <c r="G17" s="29">
        <f>IF(A17="","",MAX(0,C17-F17))</f>
        <v/>
      </c>
      <c r="H17" s="29">
        <f>IF(A17="","",G17*D17/12)</f>
        <v/>
      </c>
      <c r="I17" s="54">
        <f>IF(OR(A17="",N(G17)&lt;=0),"",COUNTIF($N$9:$N$23,"&gt;"&amp;N17)+COUNTIF($N$9:N17,N17))</f>
        <v/>
      </c>
      <c r="J17" s="29">
        <f>IF(I17="",0,O17+MIN(P17,MAX(0,$C$6-SUMIF($I$9:$I$23,"&lt;"&amp;I17,$P$9:$P$23))))</f>
        <v/>
      </c>
      <c r="K17" s="54">
        <f>IF(A17="","",IF(N(G17)&lt;=0,0,IF(J17&lt;=0,"Después de las anteriores",IF(D17=0,ROUNDUP(G17/J17,0),IF(J17&lt;=H17,"Nunca: pago &lt; interés",ROUNDUP(NPER(D17/12,-J17,G17),0))))))</f>
        <v/>
      </c>
      <c r="L17" s="49">
        <f>IF(ISNUMBER(K17),EDATE(Mes_Analisis,K17),"")</f>
        <v/>
      </c>
      <c r="M17" s="24">
        <f>IF(A17="","",IF(N(G17)&lt;=0,"✅ ¡Liquidada! Celébralo",IF(I17=1,"🎯 Ataca aquí: todo el dinero extra",IF(D17&gt;0,"Paga el mínimo: genera intereses","Sin intereses: en segundo plano"))))</f>
        <v/>
      </c>
      <c r="N17" s="55">
        <f>IF(A17="","",IF(G17&lt;=0,-1,IF(D17&gt;0,1+D17,1/(1+G17))))</f>
        <v/>
      </c>
      <c r="O17" s="29">
        <f>IF(OR(A17="",N(G17)&lt;=0),0,MIN(G17,E17))</f>
        <v/>
      </c>
      <c r="P17" s="29">
        <f>IF(OR(A17="",N(G17)&lt;=0),0,G17-O17)</f>
        <v/>
      </c>
    </row>
    <row r="18">
      <c r="A18" s="44" t="n"/>
      <c r="B18" s="44" t="n"/>
      <c r="C18" s="45" t="n"/>
      <c r="D18" s="53" t="n"/>
      <c r="E18" s="45" t="n"/>
      <c r="F18" s="29">
        <f>IF(A18="",0,SUMIF('Abonos a Deudas'!$B$5:$B$304,A18,'Abonos a Deudas'!$C$5:$C$304))</f>
        <v/>
      </c>
      <c r="G18" s="29">
        <f>IF(A18="","",MAX(0,C18-F18))</f>
        <v/>
      </c>
      <c r="H18" s="29">
        <f>IF(A18="","",G18*D18/12)</f>
        <v/>
      </c>
      <c r="I18" s="54">
        <f>IF(OR(A18="",N(G18)&lt;=0),"",COUNTIF($N$9:$N$23,"&gt;"&amp;N18)+COUNTIF($N$9:N18,N18))</f>
        <v/>
      </c>
      <c r="J18" s="29">
        <f>IF(I18="",0,O18+MIN(P18,MAX(0,$C$6-SUMIF($I$9:$I$23,"&lt;"&amp;I18,$P$9:$P$23))))</f>
        <v/>
      </c>
      <c r="K18" s="54">
        <f>IF(A18="","",IF(N(G18)&lt;=0,0,IF(J18&lt;=0,"Después de las anteriores",IF(D18=0,ROUNDUP(G18/J18,0),IF(J18&lt;=H18,"Nunca: pago &lt; interés",ROUNDUP(NPER(D18/12,-J18,G18),0))))))</f>
        <v/>
      </c>
      <c r="L18" s="49">
        <f>IF(ISNUMBER(K18),EDATE(Mes_Analisis,K18),"")</f>
        <v/>
      </c>
      <c r="M18" s="24">
        <f>IF(A18="","",IF(N(G18)&lt;=0,"✅ ¡Liquidada! Celébralo",IF(I18=1,"🎯 Ataca aquí: todo el dinero extra",IF(D18&gt;0,"Paga el mínimo: genera intereses","Sin intereses: en segundo plano"))))</f>
        <v/>
      </c>
      <c r="N18" s="55">
        <f>IF(A18="","",IF(G18&lt;=0,-1,IF(D18&gt;0,1+D18,1/(1+G18))))</f>
        <v/>
      </c>
      <c r="O18" s="29">
        <f>IF(OR(A18="",N(G18)&lt;=0),0,MIN(G18,E18))</f>
        <v/>
      </c>
      <c r="P18" s="29">
        <f>IF(OR(A18="",N(G18)&lt;=0),0,G18-O18)</f>
        <v/>
      </c>
    </row>
    <row r="19">
      <c r="A19" s="44" t="n"/>
      <c r="B19" s="44" t="n"/>
      <c r="C19" s="45" t="n"/>
      <c r="D19" s="53" t="n"/>
      <c r="E19" s="45" t="n"/>
      <c r="F19" s="29">
        <f>IF(A19="",0,SUMIF('Abonos a Deudas'!$B$5:$B$304,A19,'Abonos a Deudas'!$C$5:$C$304))</f>
        <v/>
      </c>
      <c r="G19" s="29">
        <f>IF(A19="","",MAX(0,C19-F19))</f>
        <v/>
      </c>
      <c r="H19" s="29">
        <f>IF(A19="","",G19*D19/12)</f>
        <v/>
      </c>
      <c r="I19" s="54">
        <f>IF(OR(A19="",N(G19)&lt;=0),"",COUNTIF($N$9:$N$23,"&gt;"&amp;N19)+COUNTIF($N$9:N19,N19))</f>
        <v/>
      </c>
      <c r="J19" s="29">
        <f>IF(I19="",0,O19+MIN(P19,MAX(0,$C$6-SUMIF($I$9:$I$23,"&lt;"&amp;I19,$P$9:$P$23))))</f>
        <v/>
      </c>
      <c r="K19" s="54">
        <f>IF(A19="","",IF(N(G19)&lt;=0,0,IF(J19&lt;=0,"Después de las anteriores",IF(D19=0,ROUNDUP(G19/J19,0),IF(J19&lt;=H19,"Nunca: pago &lt; interés",ROUNDUP(NPER(D19/12,-J19,G19),0))))))</f>
        <v/>
      </c>
      <c r="L19" s="49">
        <f>IF(ISNUMBER(K19),EDATE(Mes_Analisis,K19),"")</f>
        <v/>
      </c>
      <c r="M19" s="24">
        <f>IF(A19="","",IF(N(G19)&lt;=0,"✅ ¡Liquidada! Celébralo",IF(I19=1,"🎯 Ataca aquí: todo el dinero extra",IF(D19&gt;0,"Paga el mínimo: genera intereses","Sin intereses: en segundo plano"))))</f>
        <v/>
      </c>
      <c r="N19" s="55">
        <f>IF(A19="","",IF(G19&lt;=0,-1,IF(D19&gt;0,1+D19,1/(1+G19))))</f>
        <v/>
      </c>
      <c r="O19" s="29">
        <f>IF(OR(A19="",N(G19)&lt;=0),0,MIN(G19,E19))</f>
        <v/>
      </c>
      <c r="P19" s="29">
        <f>IF(OR(A19="",N(G19)&lt;=0),0,G19-O19)</f>
        <v/>
      </c>
    </row>
    <row r="20">
      <c r="A20" s="44" t="n"/>
      <c r="B20" s="44" t="n"/>
      <c r="C20" s="45" t="n"/>
      <c r="D20" s="53" t="n"/>
      <c r="E20" s="45" t="n"/>
      <c r="F20" s="29">
        <f>IF(A20="",0,SUMIF('Abonos a Deudas'!$B$5:$B$304,A20,'Abonos a Deudas'!$C$5:$C$304))</f>
        <v/>
      </c>
      <c r="G20" s="29">
        <f>IF(A20="","",MAX(0,C20-F20))</f>
        <v/>
      </c>
      <c r="H20" s="29">
        <f>IF(A20="","",G20*D20/12)</f>
        <v/>
      </c>
      <c r="I20" s="54">
        <f>IF(OR(A20="",N(G20)&lt;=0),"",COUNTIF($N$9:$N$23,"&gt;"&amp;N20)+COUNTIF($N$9:N20,N20))</f>
        <v/>
      </c>
      <c r="J20" s="29">
        <f>IF(I20="",0,O20+MIN(P20,MAX(0,$C$6-SUMIF($I$9:$I$23,"&lt;"&amp;I20,$P$9:$P$23))))</f>
        <v/>
      </c>
      <c r="K20" s="54">
        <f>IF(A20="","",IF(N(G20)&lt;=0,0,IF(J20&lt;=0,"Después de las anteriores",IF(D20=0,ROUNDUP(G20/J20,0),IF(J20&lt;=H20,"Nunca: pago &lt; interés",ROUNDUP(NPER(D20/12,-J20,G20),0))))))</f>
        <v/>
      </c>
      <c r="L20" s="49">
        <f>IF(ISNUMBER(K20),EDATE(Mes_Analisis,K20),"")</f>
        <v/>
      </c>
      <c r="M20" s="24">
        <f>IF(A20="","",IF(N(G20)&lt;=0,"✅ ¡Liquidada! Celébralo",IF(I20=1,"🎯 Ataca aquí: todo el dinero extra",IF(D20&gt;0,"Paga el mínimo: genera intereses","Sin intereses: en segundo plano"))))</f>
        <v/>
      </c>
      <c r="N20" s="55">
        <f>IF(A20="","",IF(G20&lt;=0,-1,IF(D20&gt;0,1+D20,1/(1+G20))))</f>
        <v/>
      </c>
      <c r="O20" s="29">
        <f>IF(OR(A20="",N(G20)&lt;=0),0,MIN(G20,E20))</f>
        <v/>
      </c>
      <c r="P20" s="29">
        <f>IF(OR(A20="",N(G20)&lt;=0),0,G20-O20)</f>
        <v/>
      </c>
    </row>
    <row r="21">
      <c r="A21" s="44" t="n"/>
      <c r="B21" s="44" t="n"/>
      <c r="C21" s="45" t="n"/>
      <c r="D21" s="53" t="n"/>
      <c r="E21" s="45" t="n"/>
      <c r="F21" s="29">
        <f>IF(A21="",0,SUMIF('Abonos a Deudas'!$B$5:$B$304,A21,'Abonos a Deudas'!$C$5:$C$304))</f>
        <v/>
      </c>
      <c r="G21" s="29">
        <f>IF(A21="","",MAX(0,C21-F21))</f>
        <v/>
      </c>
      <c r="H21" s="29">
        <f>IF(A21="","",G21*D21/12)</f>
        <v/>
      </c>
      <c r="I21" s="54">
        <f>IF(OR(A21="",N(G21)&lt;=0),"",COUNTIF($N$9:$N$23,"&gt;"&amp;N21)+COUNTIF($N$9:N21,N21))</f>
        <v/>
      </c>
      <c r="J21" s="29">
        <f>IF(I21="",0,O21+MIN(P21,MAX(0,$C$6-SUMIF($I$9:$I$23,"&lt;"&amp;I21,$P$9:$P$23))))</f>
        <v/>
      </c>
      <c r="K21" s="54">
        <f>IF(A21="","",IF(N(G21)&lt;=0,0,IF(J21&lt;=0,"Después de las anteriores",IF(D21=0,ROUNDUP(G21/J21,0),IF(J21&lt;=H21,"Nunca: pago &lt; interés",ROUNDUP(NPER(D21/12,-J21,G21),0))))))</f>
        <v/>
      </c>
      <c r="L21" s="49">
        <f>IF(ISNUMBER(K21),EDATE(Mes_Analisis,K21),"")</f>
        <v/>
      </c>
      <c r="M21" s="24">
        <f>IF(A21="","",IF(N(G21)&lt;=0,"✅ ¡Liquidada! Celébralo",IF(I21=1,"🎯 Ataca aquí: todo el dinero extra",IF(D21&gt;0,"Paga el mínimo: genera intereses","Sin intereses: en segundo plano"))))</f>
        <v/>
      </c>
      <c r="N21" s="55">
        <f>IF(A21="","",IF(G21&lt;=0,-1,IF(D21&gt;0,1+D21,1/(1+G21))))</f>
        <v/>
      </c>
      <c r="O21" s="29">
        <f>IF(OR(A21="",N(G21)&lt;=0),0,MIN(G21,E21))</f>
        <v/>
      </c>
      <c r="P21" s="29">
        <f>IF(OR(A21="",N(G21)&lt;=0),0,G21-O21)</f>
        <v/>
      </c>
    </row>
    <row r="22">
      <c r="A22" s="44" t="n"/>
      <c r="B22" s="44" t="n"/>
      <c r="C22" s="45" t="n"/>
      <c r="D22" s="53" t="n"/>
      <c r="E22" s="45" t="n"/>
      <c r="F22" s="29">
        <f>IF(A22="",0,SUMIF('Abonos a Deudas'!$B$5:$B$304,A22,'Abonos a Deudas'!$C$5:$C$304))</f>
        <v/>
      </c>
      <c r="G22" s="29">
        <f>IF(A22="","",MAX(0,C22-F22))</f>
        <v/>
      </c>
      <c r="H22" s="29">
        <f>IF(A22="","",G22*D22/12)</f>
        <v/>
      </c>
      <c r="I22" s="54">
        <f>IF(OR(A22="",N(G22)&lt;=0),"",COUNTIF($N$9:$N$23,"&gt;"&amp;N22)+COUNTIF($N$9:N22,N22))</f>
        <v/>
      </c>
      <c r="J22" s="29">
        <f>IF(I22="",0,O22+MIN(P22,MAX(0,$C$6-SUMIF($I$9:$I$23,"&lt;"&amp;I22,$P$9:$P$23))))</f>
        <v/>
      </c>
      <c r="K22" s="54">
        <f>IF(A22="","",IF(N(G22)&lt;=0,0,IF(J22&lt;=0,"Después de las anteriores",IF(D22=0,ROUNDUP(G22/J22,0),IF(J22&lt;=H22,"Nunca: pago &lt; interés",ROUNDUP(NPER(D22/12,-J22,G22),0))))))</f>
        <v/>
      </c>
      <c r="L22" s="49">
        <f>IF(ISNUMBER(K22),EDATE(Mes_Analisis,K22),"")</f>
        <v/>
      </c>
      <c r="M22" s="24">
        <f>IF(A22="","",IF(N(G22)&lt;=0,"✅ ¡Liquidada! Celébralo",IF(I22=1,"🎯 Ataca aquí: todo el dinero extra",IF(D22&gt;0,"Paga el mínimo: genera intereses","Sin intereses: en segundo plano"))))</f>
        <v/>
      </c>
      <c r="N22" s="55">
        <f>IF(A22="","",IF(G22&lt;=0,-1,IF(D22&gt;0,1+D22,1/(1+G22))))</f>
        <v/>
      </c>
      <c r="O22" s="29">
        <f>IF(OR(A22="",N(G22)&lt;=0),0,MIN(G22,E22))</f>
        <v/>
      </c>
      <c r="P22" s="29">
        <f>IF(OR(A22="",N(G22)&lt;=0),0,G22-O22)</f>
        <v/>
      </c>
    </row>
    <row r="23">
      <c r="A23" s="44" t="n"/>
      <c r="B23" s="44" t="n"/>
      <c r="C23" s="45" t="n"/>
      <c r="D23" s="53" t="n"/>
      <c r="E23" s="45" t="n"/>
      <c r="F23" s="29">
        <f>IF(A23="",0,SUMIF('Abonos a Deudas'!$B$5:$B$304,A23,'Abonos a Deudas'!$C$5:$C$304))</f>
        <v/>
      </c>
      <c r="G23" s="29">
        <f>IF(A23="","",MAX(0,C23-F23))</f>
        <v/>
      </c>
      <c r="H23" s="29">
        <f>IF(A23="","",G23*D23/12)</f>
        <v/>
      </c>
      <c r="I23" s="54">
        <f>IF(OR(A23="",N(G23)&lt;=0),"",COUNTIF($N$9:$N$23,"&gt;"&amp;N23)+COUNTIF($N$9:N23,N23))</f>
        <v/>
      </c>
      <c r="J23" s="29">
        <f>IF(I23="",0,O23+MIN(P23,MAX(0,$C$6-SUMIF($I$9:$I$23,"&lt;"&amp;I23,$P$9:$P$23))))</f>
        <v/>
      </c>
      <c r="K23" s="54">
        <f>IF(A23="","",IF(N(G23)&lt;=0,0,IF(J23&lt;=0,"Después de las anteriores",IF(D23=0,ROUNDUP(G23/J23,0),IF(J23&lt;=H23,"Nunca: pago &lt; interés",ROUNDUP(NPER(D23/12,-J23,G23),0))))))</f>
        <v/>
      </c>
      <c r="L23" s="49">
        <f>IF(ISNUMBER(K23),EDATE(Mes_Analisis,K23),"")</f>
        <v/>
      </c>
      <c r="M23" s="24">
        <f>IF(A23="","",IF(N(G23)&lt;=0,"✅ ¡Liquidada! Celébralo",IF(I23=1,"🎯 Ataca aquí: todo el dinero extra",IF(D23&gt;0,"Paga el mínimo: genera intereses","Sin intereses: en segundo plano"))))</f>
        <v/>
      </c>
      <c r="N23" s="55">
        <f>IF(A23="","",IF(G23&lt;=0,-1,IF(D23&gt;0,1+D23,1/(1+G23))))</f>
        <v/>
      </c>
      <c r="O23" s="29">
        <f>IF(OR(A23="",N(G23)&lt;=0),0,MIN(G23,E23))</f>
        <v/>
      </c>
      <c r="P23" s="29">
        <f>IF(OR(A23="",N(G23)&lt;=0),0,G23-O23)</f>
        <v/>
      </c>
    </row>
    <row r="24">
      <c r="A24" s="56" t="inlineStr">
        <is>
          <t>TOTAL</t>
        </is>
      </c>
      <c r="B24" s="56" t="n"/>
      <c r="C24" s="57">
        <f>SUM(C9:C23)</f>
        <v/>
      </c>
      <c r="D24" s="56" t="n"/>
      <c r="E24" s="57">
        <f>SUM(E9:E23)</f>
        <v/>
      </c>
      <c r="F24" s="57">
        <f>SUM(F9:F23)</f>
        <v/>
      </c>
      <c r="G24" s="57">
        <f>SUM(G9:G23)</f>
        <v/>
      </c>
      <c r="H24" s="57">
        <f>SUM(H9:H23)</f>
        <v/>
      </c>
      <c r="I24" s="56" t="n"/>
      <c r="J24" s="57">
        <f>SUM(J9:J23)</f>
        <v/>
      </c>
      <c r="K24" s="58">
        <f>IF(COUNT(L9:L23)=0,"",MAX(L9:L23))</f>
        <v/>
      </c>
      <c r="L24" s="59" t="n"/>
      <c r="M24" s="56" t="inlineStr">
        <is>
          <t>← Libre de deudas (estimado)</t>
        </is>
      </c>
    </row>
    <row r="26">
      <c r="A26" s="11" t="inlineStr">
        <is>
          <t>Cómo funciona</t>
        </is>
      </c>
    </row>
    <row r="27">
      <c r="A27" s="60" t="inlineStr">
        <is>
          <t>• Cada mes cubres el pago mínimo de TODAS tus deudas para proteger tu historial.</t>
        </is>
      </c>
    </row>
    <row r="28">
      <c r="A28" s="60" t="inlineStr">
        <is>
          <t>• Todo el dinero extra va a la deuda con prioridad 1. Al liquidarla, su pago pasa a la siguiente (efecto avalancha).</t>
        </is>
      </c>
    </row>
    <row r="29">
      <c r="A29" s="60" t="inlineStr">
        <is>
          <t>• Las deudas con intereses van primero, de la tasa más alta a la más baja: cada peso ahí te ahorra más intereses.</t>
        </is>
      </c>
    </row>
    <row r="30">
      <c r="A30" s="60" t="inlineStr">
        <is>
          <t>• Los préstamos familiares sin intereses van después, del saldo más pequeño al más grande, para liquidarlos uno a uno.</t>
        </is>
      </c>
    </row>
    <row r="31">
      <c r="A31" s="60" t="inlineStr">
        <is>
          <t>• 'Meses para liquidar' y 'Fecha estimada libre' suponen que repites el pago sugerido de este mes; al acelerar con el efecto avalancha terminarás antes.</t>
        </is>
      </c>
    </row>
  </sheetData>
  <mergeCells count="7">
    <mergeCell ref="A4:B4"/>
    <mergeCell ref="A1:M1"/>
    <mergeCell ref="K24:L24"/>
    <mergeCell ref="A5:B5"/>
    <mergeCell ref="A2:M2"/>
    <mergeCell ref="A6:B6"/>
    <mergeCell ref="E4:M5"/>
  </mergeCells>
  <conditionalFormatting sqref="A9:M23">
    <cfRule type="expression" priority="1" dxfId="5">
      <formula>$I9=1</formula>
    </cfRule>
    <cfRule type="expression" priority="2" dxfId="6">
      <formula>AND($A9&lt;&gt;"",N($G9)&lt;=0)</formula>
    </cfRule>
  </conditionalFormatting>
  <dataValidations count="1">
    <dataValidation sqref="B9:B23" showDropDown="0" showInputMessage="0" showErrorMessage="0" allowBlank="1" type="list">
      <formula1>Lista_TiposDeuda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E3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5" customWidth="1" min="3" max="3"/>
    <col width="34" customWidth="1" min="4" max="4"/>
    <col width="13" customWidth="1" min="5" max="5"/>
  </cols>
  <sheetData>
    <row r="1" ht="34" customHeight="1">
      <c r="A1" s="1" t="inlineStr">
        <is>
          <t>ABONOS A DEUDAS</t>
        </is>
      </c>
    </row>
    <row r="2">
      <c r="A2" s="2" t="inlineStr">
        <is>
          <t>Registra cada pago. El saldo de la deuda se actualiza solo en la hoja Deudas.</t>
        </is>
      </c>
    </row>
    <row r="4" ht="30" customHeight="1">
      <c r="A4" s="15" t="inlineStr">
        <is>
          <t>Fecha</t>
        </is>
      </c>
      <c r="B4" s="15" t="inlineStr">
        <is>
          <t>Deuda</t>
        </is>
      </c>
      <c r="C4" s="15" t="inlineStr">
        <is>
          <t>Monto</t>
        </is>
      </c>
      <c r="D4" s="15" t="inlineStr">
        <is>
          <t>Nota</t>
        </is>
      </c>
      <c r="E4" s="15" t="inlineStr">
        <is>
          <t>Mes</t>
        </is>
      </c>
    </row>
    <row r="5">
      <c r="A5" s="48" t="n">
        <v>46270</v>
      </c>
      <c r="B5" s="44" t="inlineStr">
        <is>
          <t>TDC Tienda departamental</t>
        </is>
      </c>
      <c r="C5" s="45" t="n">
        <v>3150</v>
      </c>
      <c r="D5" s="44" t="inlineStr">
        <is>
          <t>Mínimo + extra (prioridad 1)</t>
        </is>
      </c>
      <c r="E5" s="49">
        <f>IF(A5="","",DATE(YEAR(A5),MONTH(A5),1))</f>
        <v/>
      </c>
    </row>
    <row r="6">
      <c r="A6" s="48" t="n">
        <v>46270</v>
      </c>
      <c r="B6" s="44" t="inlineStr">
        <is>
          <t>TDC Banco Azul</t>
        </is>
      </c>
      <c r="C6" s="45" t="n">
        <v>1200</v>
      </c>
      <c r="D6" s="44" t="inlineStr">
        <is>
          <t>Pago mínimo</t>
        </is>
      </c>
      <c r="E6" s="49">
        <f>IF(A6="","",DATE(YEAR(A6),MONTH(A6),1))</f>
        <v/>
      </c>
    </row>
    <row r="7">
      <c r="A7" s="48" t="n">
        <v>46275</v>
      </c>
      <c r="B7" s="44" t="inlineStr">
        <is>
          <t>Préstamo personal</t>
        </is>
      </c>
      <c r="C7" s="45" t="n">
        <v>1500</v>
      </c>
      <c r="D7" s="44" t="inlineStr">
        <is>
          <t>Mensualidad</t>
        </is>
      </c>
      <c r="E7" s="49">
        <f>IF(A7="","",DATE(YEAR(A7),MONTH(A7),1))</f>
        <v/>
      </c>
    </row>
    <row r="8">
      <c r="A8" s="48" t="n">
        <v>46280</v>
      </c>
      <c r="B8" s="44" t="inlineStr">
        <is>
          <t>Préstamo hermano</t>
        </is>
      </c>
      <c r="C8" s="45" t="n">
        <v>500</v>
      </c>
      <c r="D8" s="44" t="inlineStr">
        <is>
          <t>Abono acordado</t>
        </is>
      </c>
      <c r="E8" s="49">
        <f>IF(A8="","",DATE(YEAR(A8),MONTH(A8),1))</f>
        <v/>
      </c>
    </row>
    <row r="9">
      <c r="A9" s="48" t="n"/>
      <c r="B9" s="44" t="n"/>
      <c r="C9" s="45" t="n"/>
      <c r="D9" s="44" t="n"/>
      <c r="E9" s="49">
        <f>IF(A9="","",DATE(YEAR(A9),MONTH(A9),1))</f>
        <v/>
      </c>
    </row>
    <row r="10">
      <c r="A10" s="48" t="n"/>
      <c r="B10" s="44" t="n"/>
      <c r="C10" s="45" t="n"/>
      <c r="D10" s="44" t="n"/>
      <c r="E10" s="49">
        <f>IF(A10="","",DATE(YEAR(A10),MONTH(A10),1))</f>
        <v/>
      </c>
    </row>
    <row r="11">
      <c r="A11" s="48" t="n"/>
      <c r="B11" s="44" t="n"/>
      <c r="C11" s="45" t="n"/>
      <c r="D11" s="44" t="n"/>
      <c r="E11" s="49">
        <f>IF(A11="","",DATE(YEAR(A11),MONTH(A11),1))</f>
        <v/>
      </c>
    </row>
    <row r="12">
      <c r="A12" s="48" t="n"/>
      <c r="B12" s="44" t="n"/>
      <c r="C12" s="45" t="n"/>
      <c r="D12" s="44" t="n"/>
      <c r="E12" s="49">
        <f>IF(A12="","",DATE(YEAR(A12),MONTH(A12),1))</f>
        <v/>
      </c>
    </row>
    <row r="13">
      <c r="A13" s="48" t="n"/>
      <c r="B13" s="44" t="n"/>
      <c r="C13" s="45" t="n"/>
      <c r="D13" s="44" t="n"/>
      <c r="E13" s="49">
        <f>IF(A13="","",DATE(YEAR(A13),MONTH(A13),1))</f>
        <v/>
      </c>
    </row>
    <row r="14">
      <c r="A14" s="48" t="n"/>
      <c r="B14" s="44" t="n"/>
      <c r="C14" s="45" t="n"/>
      <c r="D14" s="44" t="n"/>
      <c r="E14" s="49">
        <f>IF(A14="","",DATE(YEAR(A14),MONTH(A14),1))</f>
        <v/>
      </c>
    </row>
    <row r="15">
      <c r="A15" s="48" t="n"/>
      <c r="B15" s="44" t="n"/>
      <c r="C15" s="45" t="n"/>
      <c r="D15" s="44" t="n"/>
      <c r="E15" s="49">
        <f>IF(A15="","",DATE(YEAR(A15),MONTH(A15),1))</f>
        <v/>
      </c>
    </row>
    <row r="16">
      <c r="A16" s="48" t="n"/>
      <c r="B16" s="44" t="n"/>
      <c r="C16" s="45" t="n"/>
      <c r="D16" s="44" t="n"/>
      <c r="E16" s="49">
        <f>IF(A16="","",DATE(YEAR(A16),MONTH(A16),1))</f>
        <v/>
      </c>
    </row>
    <row r="17">
      <c r="A17" s="48" t="n"/>
      <c r="B17" s="44" t="n"/>
      <c r="C17" s="45" t="n"/>
      <c r="D17" s="44" t="n"/>
      <c r="E17" s="49">
        <f>IF(A17="","",DATE(YEAR(A17),MONTH(A17),1))</f>
        <v/>
      </c>
    </row>
    <row r="18">
      <c r="A18" s="48" t="n"/>
      <c r="B18" s="44" t="n"/>
      <c r="C18" s="45" t="n"/>
      <c r="D18" s="44" t="n"/>
      <c r="E18" s="49">
        <f>IF(A18="","",DATE(YEAR(A18),MONTH(A18),1))</f>
        <v/>
      </c>
    </row>
    <row r="19">
      <c r="A19" s="48" t="n"/>
      <c r="B19" s="44" t="n"/>
      <c r="C19" s="45" t="n"/>
      <c r="D19" s="44" t="n"/>
      <c r="E19" s="49">
        <f>IF(A19="","",DATE(YEAR(A19),MONTH(A19),1))</f>
        <v/>
      </c>
    </row>
    <row r="20">
      <c r="A20" s="48" t="n"/>
      <c r="B20" s="44" t="n"/>
      <c r="C20" s="45" t="n"/>
      <c r="D20" s="44" t="n"/>
      <c r="E20" s="49">
        <f>IF(A20="","",DATE(YEAR(A20),MONTH(A20),1))</f>
        <v/>
      </c>
    </row>
    <row r="21">
      <c r="A21" s="48" t="n"/>
      <c r="B21" s="44" t="n"/>
      <c r="C21" s="45" t="n"/>
      <c r="D21" s="44" t="n"/>
      <c r="E21" s="49">
        <f>IF(A21="","",DATE(YEAR(A21),MONTH(A21),1))</f>
        <v/>
      </c>
    </row>
    <row r="22">
      <c r="A22" s="48" t="n"/>
      <c r="B22" s="44" t="n"/>
      <c r="C22" s="45" t="n"/>
      <c r="D22" s="44" t="n"/>
      <c r="E22" s="49">
        <f>IF(A22="","",DATE(YEAR(A22),MONTH(A22),1))</f>
        <v/>
      </c>
    </row>
    <row r="23">
      <c r="A23" s="48" t="n"/>
      <c r="B23" s="44" t="n"/>
      <c r="C23" s="45" t="n"/>
      <c r="D23" s="44" t="n"/>
      <c r="E23" s="49">
        <f>IF(A23="","",DATE(YEAR(A23),MONTH(A23),1))</f>
        <v/>
      </c>
    </row>
    <row r="24">
      <c r="A24" s="48" t="n"/>
      <c r="B24" s="44" t="n"/>
      <c r="C24" s="45" t="n"/>
      <c r="D24" s="44" t="n"/>
      <c r="E24" s="49">
        <f>IF(A24="","",DATE(YEAR(A24),MONTH(A24),1))</f>
        <v/>
      </c>
    </row>
    <row r="25">
      <c r="A25" s="48" t="n"/>
      <c r="B25" s="44" t="n"/>
      <c r="C25" s="45" t="n"/>
      <c r="D25" s="44" t="n"/>
      <c r="E25" s="49">
        <f>IF(A25="","",DATE(YEAR(A25),MONTH(A25),1))</f>
        <v/>
      </c>
    </row>
    <row r="26">
      <c r="A26" s="48" t="n"/>
      <c r="B26" s="44" t="n"/>
      <c r="C26" s="45" t="n"/>
      <c r="D26" s="44" t="n"/>
      <c r="E26" s="49">
        <f>IF(A26="","",DATE(YEAR(A26),MONTH(A26),1))</f>
        <v/>
      </c>
    </row>
    <row r="27">
      <c r="A27" s="48" t="n"/>
      <c r="B27" s="44" t="n"/>
      <c r="C27" s="45" t="n"/>
      <c r="D27" s="44" t="n"/>
      <c r="E27" s="49">
        <f>IF(A27="","",DATE(YEAR(A27),MONTH(A27),1))</f>
        <v/>
      </c>
    </row>
    <row r="28">
      <c r="A28" s="48" t="n"/>
      <c r="B28" s="44" t="n"/>
      <c r="C28" s="45" t="n"/>
      <c r="D28" s="44" t="n"/>
      <c r="E28" s="49">
        <f>IF(A28="","",DATE(YEAR(A28),MONTH(A28),1))</f>
        <v/>
      </c>
    </row>
    <row r="29">
      <c r="A29" s="48" t="n"/>
      <c r="B29" s="44" t="n"/>
      <c r="C29" s="45" t="n"/>
      <c r="D29" s="44" t="n"/>
      <c r="E29" s="49">
        <f>IF(A29="","",DATE(YEAR(A29),MONTH(A29),1))</f>
        <v/>
      </c>
    </row>
    <row r="30">
      <c r="A30" s="48" t="n"/>
      <c r="B30" s="44" t="n"/>
      <c r="C30" s="45" t="n"/>
      <c r="D30" s="44" t="n"/>
      <c r="E30" s="49">
        <f>IF(A30="","",DATE(YEAR(A30),MONTH(A30),1))</f>
        <v/>
      </c>
    </row>
    <row r="31">
      <c r="A31" s="48" t="n"/>
      <c r="B31" s="44" t="n"/>
      <c r="C31" s="45" t="n"/>
      <c r="D31" s="44" t="n"/>
      <c r="E31" s="49">
        <f>IF(A31="","",DATE(YEAR(A31),MONTH(A31),1))</f>
        <v/>
      </c>
    </row>
    <row r="32">
      <c r="A32" s="48" t="n"/>
      <c r="B32" s="44" t="n"/>
      <c r="C32" s="45" t="n"/>
      <c r="D32" s="44" t="n"/>
      <c r="E32" s="49">
        <f>IF(A32="","",DATE(YEAR(A32),MONTH(A32),1))</f>
        <v/>
      </c>
    </row>
    <row r="33">
      <c r="A33" s="48" t="n"/>
      <c r="B33" s="44" t="n"/>
      <c r="C33" s="45" t="n"/>
      <c r="D33" s="44" t="n"/>
      <c r="E33" s="49">
        <f>IF(A33="","",DATE(YEAR(A33),MONTH(A33),1))</f>
        <v/>
      </c>
    </row>
    <row r="34">
      <c r="A34" s="48" t="n"/>
      <c r="B34" s="44" t="n"/>
      <c r="C34" s="45" t="n"/>
      <c r="D34" s="44" t="n"/>
      <c r="E34" s="49">
        <f>IF(A34="","",DATE(YEAR(A34),MONTH(A34),1))</f>
        <v/>
      </c>
    </row>
    <row r="35">
      <c r="A35" s="48" t="n"/>
      <c r="B35" s="44" t="n"/>
      <c r="C35" s="45" t="n"/>
      <c r="D35" s="44" t="n"/>
      <c r="E35" s="49">
        <f>IF(A35="","",DATE(YEAR(A35),MONTH(A35),1))</f>
        <v/>
      </c>
    </row>
    <row r="36">
      <c r="A36" s="48" t="n"/>
      <c r="B36" s="44" t="n"/>
      <c r="C36" s="45" t="n"/>
      <c r="D36" s="44" t="n"/>
      <c r="E36" s="49">
        <f>IF(A36="","",DATE(YEAR(A36),MONTH(A36),1))</f>
        <v/>
      </c>
    </row>
    <row r="37">
      <c r="A37" s="48" t="n"/>
      <c r="B37" s="44" t="n"/>
      <c r="C37" s="45" t="n"/>
      <c r="D37" s="44" t="n"/>
      <c r="E37" s="49">
        <f>IF(A37="","",DATE(YEAR(A37),MONTH(A37),1))</f>
        <v/>
      </c>
    </row>
    <row r="38">
      <c r="A38" s="48" t="n"/>
      <c r="B38" s="44" t="n"/>
      <c r="C38" s="45" t="n"/>
      <c r="D38" s="44" t="n"/>
      <c r="E38" s="49">
        <f>IF(A38="","",DATE(YEAR(A38),MONTH(A38),1))</f>
        <v/>
      </c>
    </row>
    <row r="39">
      <c r="A39" s="48" t="n"/>
      <c r="B39" s="44" t="n"/>
      <c r="C39" s="45" t="n"/>
      <c r="D39" s="44" t="n"/>
      <c r="E39" s="49">
        <f>IF(A39="","",DATE(YEAR(A39),MONTH(A39),1))</f>
        <v/>
      </c>
    </row>
    <row r="40">
      <c r="A40" s="48" t="n"/>
      <c r="B40" s="44" t="n"/>
      <c r="C40" s="45" t="n"/>
      <c r="D40" s="44" t="n"/>
      <c r="E40" s="49">
        <f>IF(A40="","",DATE(YEAR(A40),MONTH(A40),1))</f>
        <v/>
      </c>
    </row>
    <row r="41">
      <c r="A41" s="48" t="n"/>
      <c r="B41" s="44" t="n"/>
      <c r="C41" s="45" t="n"/>
      <c r="D41" s="44" t="n"/>
      <c r="E41" s="49">
        <f>IF(A41="","",DATE(YEAR(A41),MONTH(A41),1))</f>
        <v/>
      </c>
    </row>
    <row r="42">
      <c r="A42" s="48" t="n"/>
      <c r="B42" s="44" t="n"/>
      <c r="C42" s="45" t="n"/>
      <c r="D42" s="44" t="n"/>
      <c r="E42" s="49">
        <f>IF(A42="","",DATE(YEAR(A42),MONTH(A42),1))</f>
        <v/>
      </c>
    </row>
    <row r="43">
      <c r="A43" s="48" t="n"/>
      <c r="B43" s="44" t="n"/>
      <c r="C43" s="45" t="n"/>
      <c r="D43" s="44" t="n"/>
      <c r="E43" s="49">
        <f>IF(A43="","",DATE(YEAR(A43),MONTH(A43),1))</f>
        <v/>
      </c>
    </row>
    <row r="44">
      <c r="A44" s="48" t="n"/>
      <c r="B44" s="44" t="n"/>
      <c r="C44" s="45" t="n"/>
      <c r="D44" s="44" t="n"/>
      <c r="E44" s="49">
        <f>IF(A44="","",DATE(YEAR(A44),MONTH(A44),1))</f>
        <v/>
      </c>
    </row>
    <row r="45">
      <c r="A45" s="48" t="n"/>
      <c r="B45" s="44" t="n"/>
      <c r="C45" s="45" t="n"/>
      <c r="D45" s="44" t="n"/>
      <c r="E45" s="49">
        <f>IF(A45="","",DATE(YEAR(A45),MONTH(A45),1))</f>
        <v/>
      </c>
    </row>
    <row r="46">
      <c r="A46" s="48" t="n"/>
      <c r="B46" s="44" t="n"/>
      <c r="C46" s="45" t="n"/>
      <c r="D46" s="44" t="n"/>
      <c r="E46" s="49">
        <f>IF(A46="","",DATE(YEAR(A46),MONTH(A46),1))</f>
        <v/>
      </c>
    </row>
    <row r="47">
      <c r="A47" s="48" t="n"/>
      <c r="B47" s="44" t="n"/>
      <c r="C47" s="45" t="n"/>
      <c r="D47" s="44" t="n"/>
      <c r="E47" s="49">
        <f>IF(A47="","",DATE(YEAR(A47),MONTH(A47),1))</f>
        <v/>
      </c>
    </row>
    <row r="48">
      <c r="A48" s="48" t="n"/>
      <c r="B48" s="44" t="n"/>
      <c r="C48" s="45" t="n"/>
      <c r="D48" s="44" t="n"/>
      <c r="E48" s="49">
        <f>IF(A48="","",DATE(YEAR(A48),MONTH(A48),1))</f>
        <v/>
      </c>
    </row>
    <row r="49">
      <c r="A49" s="48" t="n"/>
      <c r="B49" s="44" t="n"/>
      <c r="C49" s="45" t="n"/>
      <c r="D49" s="44" t="n"/>
      <c r="E49" s="49">
        <f>IF(A49="","",DATE(YEAR(A49),MONTH(A49),1))</f>
        <v/>
      </c>
    </row>
    <row r="50">
      <c r="A50" s="48" t="n"/>
      <c r="B50" s="44" t="n"/>
      <c r="C50" s="45" t="n"/>
      <c r="D50" s="44" t="n"/>
      <c r="E50" s="49">
        <f>IF(A50="","",DATE(YEAR(A50),MONTH(A50),1))</f>
        <v/>
      </c>
    </row>
    <row r="51">
      <c r="A51" s="48" t="n"/>
      <c r="B51" s="44" t="n"/>
      <c r="C51" s="45" t="n"/>
      <c r="D51" s="44" t="n"/>
      <c r="E51" s="49">
        <f>IF(A51="","",DATE(YEAR(A51),MONTH(A51),1))</f>
        <v/>
      </c>
    </row>
    <row r="52">
      <c r="A52" s="48" t="n"/>
      <c r="B52" s="44" t="n"/>
      <c r="C52" s="45" t="n"/>
      <c r="D52" s="44" t="n"/>
      <c r="E52" s="49">
        <f>IF(A52="","",DATE(YEAR(A52),MONTH(A52),1))</f>
        <v/>
      </c>
    </row>
    <row r="53">
      <c r="A53" s="48" t="n"/>
      <c r="B53" s="44" t="n"/>
      <c r="C53" s="45" t="n"/>
      <c r="D53" s="44" t="n"/>
      <c r="E53" s="49">
        <f>IF(A53="","",DATE(YEAR(A53),MONTH(A53),1))</f>
        <v/>
      </c>
    </row>
    <row r="54">
      <c r="A54" s="48" t="n"/>
      <c r="B54" s="44" t="n"/>
      <c r="C54" s="45" t="n"/>
      <c r="D54" s="44" t="n"/>
      <c r="E54" s="49">
        <f>IF(A54="","",DATE(YEAR(A54),MONTH(A54),1))</f>
        <v/>
      </c>
    </row>
    <row r="55">
      <c r="A55" s="48" t="n"/>
      <c r="B55" s="44" t="n"/>
      <c r="C55" s="45" t="n"/>
      <c r="D55" s="44" t="n"/>
      <c r="E55" s="49">
        <f>IF(A55="","",DATE(YEAR(A55),MONTH(A55),1))</f>
        <v/>
      </c>
    </row>
    <row r="56">
      <c r="A56" s="48" t="n"/>
      <c r="B56" s="44" t="n"/>
      <c r="C56" s="45" t="n"/>
      <c r="D56" s="44" t="n"/>
      <c r="E56" s="49">
        <f>IF(A56="","",DATE(YEAR(A56),MONTH(A56),1))</f>
        <v/>
      </c>
    </row>
    <row r="57">
      <c r="A57" s="48" t="n"/>
      <c r="B57" s="44" t="n"/>
      <c r="C57" s="45" t="n"/>
      <c r="D57" s="44" t="n"/>
      <c r="E57" s="49">
        <f>IF(A57="","",DATE(YEAR(A57),MONTH(A57),1))</f>
        <v/>
      </c>
    </row>
    <row r="58">
      <c r="A58" s="48" t="n"/>
      <c r="B58" s="44" t="n"/>
      <c r="C58" s="45" t="n"/>
      <c r="D58" s="44" t="n"/>
      <c r="E58" s="49">
        <f>IF(A58="","",DATE(YEAR(A58),MONTH(A58),1))</f>
        <v/>
      </c>
    </row>
    <row r="59">
      <c r="A59" s="48" t="n"/>
      <c r="B59" s="44" t="n"/>
      <c r="C59" s="45" t="n"/>
      <c r="D59" s="44" t="n"/>
      <c r="E59" s="49">
        <f>IF(A59="","",DATE(YEAR(A59),MONTH(A59),1))</f>
        <v/>
      </c>
    </row>
    <row r="60">
      <c r="A60" s="48" t="n"/>
      <c r="B60" s="44" t="n"/>
      <c r="C60" s="45" t="n"/>
      <c r="D60" s="44" t="n"/>
      <c r="E60" s="49">
        <f>IF(A60="","",DATE(YEAR(A60),MONTH(A60),1))</f>
        <v/>
      </c>
    </row>
    <row r="61">
      <c r="A61" s="48" t="n"/>
      <c r="B61" s="44" t="n"/>
      <c r="C61" s="45" t="n"/>
      <c r="D61" s="44" t="n"/>
      <c r="E61" s="49">
        <f>IF(A61="","",DATE(YEAR(A61),MONTH(A61),1))</f>
        <v/>
      </c>
    </row>
    <row r="62">
      <c r="A62" s="48" t="n"/>
      <c r="B62" s="44" t="n"/>
      <c r="C62" s="45" t="n"/>
      <c r="D62" s="44" t="n"/>
      <c r="E62" s="49">
        <f>IF(A62="","",DATE(YEAR(A62),MONTH(A62),1))</f>
        <v/>
      </c>
    </row>
    <row r="63">
      <c r="A63" s="48" t="n"/>
      <c r="B63" s="44" t="n"/>
      <c r="C63" s="45" t="n"/>
      <c r="D63" s="44" t="n"/>
      <c r="E63" s="49">
        <f>IF(A63="","",DATE(YEAR(A63),MONTH(A63),1))</f>
        <v/>
      </c>
    </row>
    <row r="64">
      <c r="A64" s="48" t="n"/>
      <c r="B64" s="44" t="n"/>
      <c r="C64" s="45" t="n"/>
      <c r="D64" s="44" t="n"/>
      <c r="E64" s="49">
        <f>IF(A64="","",DATE(YEAR(A64),MONTH(A64),1))</f>
        <v/>
      </c>
    </row>
    <row r="65">
      <c r="A65" s="48" t="n"/>
      <c r="B65" s="44" t="n"/>
      <c r="C65" s="45" t="n"/>
      <c r="D65" s="44" t="n"/>
      <c r="E65" s="49">
        <f>IF(A65="","",DATE(YEAR(A65),MONTH(A65),1))</f>
        <v/>
      </c>
    </row>
    <row r="66">
      <c r="A66" s="48" t="n"/>
      <c r="B66" s="44" t="n"/>
      <c r="C66" s="45" t="n"/>
      <c r="D66" s="44" t="n"/>
      <c r="E66" s="49">
        <f>IF(A66="","",DATE(YEAR(A66),MONTH(A66),1))</f>
        <v/>
      </c>
    </row>
    <row r="67">
      <c r="A67" s="48" t="n"/>
      <c r="B67" s="44" t="n"/>
      <c r="C67" s="45" t="n"/>
      <c r="D67" s="44" t="n"/>
      <c r="E67" s="49">
        <f>IF(A67="","",DATE(YEAR(A67),MONTH(A67),1))</f>
        <v/>
      </c>
    </row>
    <row r="68">
      <c r="A68" s="48" t="n"/>
      <c r="B68" s="44" t="n"/>
      <c r="C68" s="45" t="n"/>
      <c r="D68" s="44" t="n"/>
      <c r="E68" s="49">
        <f>IF(A68="","",DATE(YEAR(A68),MONTH(A68),1))</f>
        <v/>
      </c>
    </row>
    <row r="69">
      <c r="A69" s="48" t="n"/>
      <c r="B69" s="44" t="n"/>
      <c r="C69" s="45" t="n"/>
      <c r="D69" s="44" t="n"/>
      <c r="E69" s="49">
        <f>IF(A69="","",DATE(YEAR(A69),MONTH(A69),1))</f>
        <v/>
      </c>
    </row>
    <row r="70">
      <c r="A70" s="48" t="n"/>
      <c r="B70" s="44" t="n"/>
      <c r="C70" s="45" t="n"/>
      <c r="D70" s="44" t="n"/>
      <c r="E70" s="49">
        <f>IF(A70="","",DATE(YEAR(A70),MONTH(A70),1))</f>
        <v/>
      </c>
    </row>
    <row r="71">
      <c r="A71" s="48" t="n"/>
      <c r="B71" s="44" t="n"/>
      <c r="C71" s="45" t="n"/>
      <c r="D71" s="44" t="n"/>
      <c r="E71" s="49">
        <f>IF(A71="","",DATE(YEAR(A71),MONTH(A71),1))</f>
        <v/>
      </c>
    </row>
    <row r="72">
      <c r="A72" s="48" t="n"/>
      <c r="B72" s="44" t="n"/>
      <c r="C72" s="45" t="n"/>
      <c r="D72" s="44" t="n"/>
      <c r="E72" s="49">
        <f>IF(A72="","",DATE(YEAR(A72),MONTH(A72),1))</f>
        <v/>
      </c>
    </row>
    <row r="73">
      <c r="A73" s="48" t="n"/>
      <c r="B73" s="44" t="n"/>
      <c r="C73" s="45" t="n"/>
      <c r="D73" s="44" t="n"/>
      <c r="E73" s="49">
        <f>IF(A73="","",DATE(YEAR(A73),MONTH(A73),1))</f>
        <v/>
      </c>
    </row>
    <row r="74">
      <c r="A74" s="48" t="n"/>
      <c r="B74" s="44" t="n"/>
      <c r="C74" s="45" t="n"/>
      <c r="D74" s="44" t="n"/>
      <c r="E74" s="49">
        <f>IF(A74="","",DATE(YEAR(A74),MONTH(A74),1))</f>
        <v/>
      </c>
    </row>
    <row r="75">
      <c r="A75" s="48" t="n"/>
      <c r="B75" s="44" t="n"/>
      <c r="C75" s="45" t="n"/>
      <c r="D75" s="44" t="n"/>
      <c r="E75" s="49">
        <f>IF(A75="","",DATE(YEAR(A75),MONTH(A75),1))</f>
        <v/>
      </c>
    </row>
    <row r="76">
      <c r="A76" s="48" t="n"/>
      <c r="B76" s="44" t="n"/>
      <c r="C76" s="45" t="n"/>
      <c r="D76" s="44" t="n"/>
      <c r="E76" s="49">
        <f>IF(A76="","",DATE(YEAR(A76),MONTH(A76),1))</f>
        <v/>
      </c>
    </row>
    <row r="77">
      <c r="A77" s="48" t="n"/>
      <c r="B77" s="44" t="n"/>
      <c r="C77" s="45" t="n"/>
      <c r="D77" s="44" t="n"/>
      <c r="E77" s="49">
        <f>IF(A77="","",DATE(YEAR(A77),MONTH(A77),1))</f>
        <v/>
      </c>
    </row>
    <row r="78">
      <c r="A78" s="48" t="n"/>
      <c r="B78" s="44" t="n"/>
      <c r="C78" s="45" t="n"/>
      <c r="D78" s="44" t="n"/>
      <c r="E78" s="49">
        <f>IF(A78="","",DATE(YEAR(A78),MONTH(A78),1))</f>
        <v/>
      </c>
    </row>
    <row r="79">
      <c r="A79" s="48" t="n"/>
      <c r="B79" s="44" t="n"/>
      <c r="C79" s="45" t="n"/>
      <c r="D79" s="44" t="n"/>
      <c r="E79" s="49">
        <f>IF(A79="","",DATE(YEAR(A79),MONTH(A79),1))</f>
        <v/>
      </c>
    </row>
    <row r="80">
      <c r="A80" s="48" t="n"/>
      <c r="B80" s="44" t="n"/>
      <c r="C80" s="45" t="n"/>
      <c r="D80" s="44" t="n"/>
      <c r="E80" s="49">
        <f>IF(A80="","",DATE(YEAR(A80),MONTH(A80),1))</f>
        <v/>
      </c>
    </row>
    <row r="81">
      <c r="A81" s="48" t="n"/>
      <c r="B81" s="44" t="n"/>
      <c r="C81" s="45" t="n"/>
      <c r="D81" s="44" t="n"/>
      <c r="E81" s="49">
        <f>IF(A81="","",DATE(YEAR(A81),MONTH(A81),1))</f>
        <v/>
      </c>
    </row>
    <row r="82">
      <c r="A82" s="48" t="n"/>
      <c r="B82" s="44" t="n"/>
      <c r="C82" s="45" t="n"/>
      <c r="D82" s="44" t="n"/>
      <c r="E82" s="49">
        <f>IF(A82="","",DATE(YEAR(A82),MONTH(A82),1))</f>
        <v/>
      </c>
    </row>
    <row r="83">
      <c r="A83" s="48" t="n"/>
      <c r="B83" s="44" t="n"/>
      <c r="C83" s="45" t="n"/>
      <c r="D83" s="44" t="n"/>
      <c r="E83" s="49">
        <f>IF(A83="","",DATE(YEAR(A83),MONTH(A83),1))</f>
        <v/>
      </c>
    </row>
    <row r="84">
      <c r="A84" s="48" t="n"/>
      <c r="B84" s="44" t="n"/>
      <c r="C84" s="45" t="n"/>
      <c r="D84" s="44" t="n"/>
      <c r="E84" s="49">
        <f>IF(A84="","",DATE(YEAR(A84),MONTH(A84),1))</f>
        <v/>
      </c>
    </row>
    <row r="85">
      <c r="A85" s="48" t="n"/>
      <c r="B85" s="44" t="n"/>
      <c r="C85" s="45" t="n"/>
      <c r="D85" s="44" t="n"/>
      <c r="E85" s="49">
        <f>IF(A85="","",DATE(YEAR(A85),MONTH(A85),1))</f>
        <v/>
      </c>
    </row>
    <row r="86">
      <c r="A86" s="48" t="n"/>
      <c r="B86" s="44" t="n"/>
      <c r="C86" s="45" t="n"/>
      <c r="D86" s="44" t="n"/>
      <c r="E86" s="49">
        <f>IF(A86="","",DATE(YEAR(A86),MONTH(A86),1))</f>
        <v/>
      </c>
    </row>
    <row r="87">
      <c r="A87" s="48" t="n"/>
      <c r="B87" s="44" t="n"/>
      <c r="C87" s="45" t="n"/>
      <c r="D87" s="44" t="n"/>
      <c r="E87" s="49">
        <f>IF(A87="","",DATE(YEAR(A87),MONTH(A87),1))</f>
        <v/>
      </c>
    </row>
    <row r="88">
      <c r="A88" s="48" t="n"/>
      <c r="B88" s="44" t="n"/>
      <c r="C88" s="45" t="n"/>
      <c r="D88" s="44" t="n"/>
      <c r="E88" s="49">
        <f>IF(A88="","",DATE(YEAR(A88),MONTH(A88),1))</f>
        <v/>
      </c>
    </row>
    <row r="89">
      <c r="A89" s="48" t="n"/>
      <c r="B89" s="44" t="n"/>
      <c r="C89" s="45" t="n"/>
      <c r="D89" s="44" t="n"/>
      <c r="E89" s="49">
        <f>IF(A89="","",DATE(YEAR(A89),MONTH(A89),1))</f>
        <v/>
      </c>
    </row>
    <row r="90">
      <c r="A90" s="48" t="n"/>
      <c r="B90" s="44" t="n"/>
      <c r="C90" s="45" t="n"/>
      <c r="D90" s="44" t="n"/>
      <c r="E90" s="49">
        <f>IF(A90="","",DATE(YEAR(A90),MONTH(A90),1))</f>
        <v/>
      </c>
    </row>
    <row r="91">
      <c r="A91" s="48" t="n"/>
      <c r="B91" s="44" t="n"/>
      <c r="C91" s="45" t="n"/>
      <c r="D91" s="44" t="n"/>
      <c r="E91" s="49">
        <f>IF(A91="","",DATE(YEAR(A91),MONTH(A91),1))</f>
        <v/>
      </c>
    </row>
    <row r="92">
      <c r="A92" s="48" t="n"/>
      <c r="B92" s="44" t="n"/>
      <c r="C92" s="45" t="n"/>
      <c r="D92" s="44" t="n"/>
      <c r="E92" s="49">
        <f>IF(A92="","",DATE(YEAR(A92),MONTH(A92),1))</f>
        <v/>
      </c>
    </row>
    <row r="93">
      <c r="A93" s="48" t="n"/>
      <c r="B93" s="44" t="n"/>
      <c r="C93" s="45" t="n"/>
      <c r="D93" s="44" t="n"/>
      <c r="E93" s="49">
        <f>IF(A93="","",DATE(YEAR(A93),MONTH(A93),1))</f>
        <v/>
      </c>
    </row>
    <row r="94">
      <c r="A94" s="48" t="n"/>
      <c r="B94" s="44" t="n"/>
      <c r="C94" s="45" t="n"/>
      <c r="D94" s="44" t="n"/>
      <c r="E94" s="49">
        <f>IF(A94="","",DATE(YEAR(A94),MONTH(A94),1))</f>
        <v/>
      </c>
    </row>
    <row r="95">
      <c r="A95" s="48" t="n"/>
      <c r="B95" s="44" t="n"/>
      <c r="C95" s="45" t="n"/>
      <c r="D95" s="44" t="n"/>
      <c r="E95" s="49">
        <f>IF(A95="","",DATE(YEAR(A95),MONTH(A95),1))</f>
        <v/>
      </c>
    </row>
    <row r="96">
      <c r="A96" s="48" t="n"/>
      <c r="B96" s="44" t="n"/>
      <c r="C96" s="45" t="n"/>
      <c r="D96" s="44" t="n"/>
      <c r="E96" s="49">
        <f>IF(A96="","",DATE(YEAR(A96),MONTH(A96),1))</f>
        <v/>
      </c>
    </row>
    <row r="97">
      <c r="A97" s="48" t="n"/>
      <c r="B97" s="44" t="n"/>
      <c r="C97" s="45" t="n"/>
      <c r="D97" s="44" t="n"/>
      <c r="E97" s="49">
        <f>IF(A97="","",DATE(YEAR(A97),MONTH(A97),1))</f>
        <v/>
      </c>
    </row>
    <row r="98">
      <c r="A98" s="48" t="n"/>
      <c r="B98" s="44" t="n"/>
      <c r="C98" s="45" t="n"/>
      <c r="D98" s="44" t="n"/>
      <c r="E98" s="49">
        <f>IF(A98="","",DATE(YEAR(A98),MONTH(A98),1))</f>
        <v/>
      </c>
    </row>
    <row r="99">
      <c r="A99" s="48" t="n"/>
      <c r="B99" s="44" t="n"/>
      <c r="C99" s="45" t="n"/>
      <c r="D99" s="44" t="n"/>
      <c r="E99" s="49">
        <f>IF(A99="","",DATE(YEAR(A99),MONTH(A99),1))</f>
        <v/>
      </c>
    </row>
    <row r="100">
      <c r="A100" s="48" t="n"/>
      <c r="B100" s="44" t="n"/>
      <c r="C100" s="45" t="n"/>
      <c r="D100" s="44" t="n"/>
      <c r="E100" s="49">
        <f>IF(A100="","",DATE(YEAR(A100),MONTH(A100),1))</f>
        <v/>
      </c>
    </row>
    <row r="101">
      <c r="A101" s="48" t="n"/>
      <c r="B101" s="44" t="n"/>
      <c r="C101" s="45" t="n"/>
      <c r="D101" s="44" t="n"/>
      <c r="E101" s="49">
        <f>IF(A101="","",DATE(YEAR(A101),MONTH(A101),1))</f>
        <v/>
      </c>
    </row>
    <row r="102">
      <c r="A102" s="48" t="n"/>
      <c r="B102" s="44" t="n"/>
      <c r="C102" s="45" t="n"/>
      <c r="D102" s="44" t="n"/>
      <c r="E102" s="49">
        <f>IF(A102="","",DATE(YEAR(A102),MONTH(A102),1))</f>
        <v/>
      </c>
    </row>
    <row r="103">
      <c r="A103" s="48" t="n"/>
      <c r="B103" s="44" t="n"/>
      <c r="C103" s="45" t="n"/>
      <c r="D103" s="44" t="n"/>
      <c r="E103" s="49">
        <f>IF(A103="","",DATE(YEAR(A103),MONTH(A103),1))</f>
        <v/>
      </c>
    </row>
    <row r="104">
      <c r="A104" s="48" t="n"/>
      <c r="B104" s="44" t="n"/>
      <c r="C104" s="45" t="n"/>
      <c r="D104" s="44" t="n"/>
      <c r="E104" s="49">
        <f>IF(A104="","",DATE(YEAR(A104),MONTH(A104),1))</f>
        <v/>
      </c>
    </row>
    <row r="105">
      <c r="A105" s="48" t="n"/>
      <c r="B105" s="44" t="n"/>
      <c r="C105" s="45" t="n"/>
      <c r="D105" s="44" t="n"/>
      <c r="E105" s="49">
        <f>IF(A105="","",DATE(YEAR(A105),MONTH(A105),1))</f>
        <v/>
      </c>
    </row>
    <row r="106">
      <c r="A106" s="48" t="n"/>
      <c r="B106" s="44" t="n"/>
      <c r="C106" s="45" t="n"/>
      <c r="D106" s="44" t="n"/>
      <c r="E106" s="49">
        <f>IF(A106="","",DATE(YEAR(A106),MONTH(A106),1))</f>
        <v/>
      </c>
    </row>
    <row r="107">
      <c r="A107" s="48" t="n"/>
      <c r="B107" s="44" t="n"/>
      <c r="C107" s="45" t="n"/>
      <c r="D107" s="44" t="n"/>
      <c r="E107" s="49">
        <f>IF(A107="","",DATE(YEAR(A107),MONTH(A107),1))</f>
        <v/>
      </c>
    </row>
    <row r="108">
      <c r="A108" s="48" t="n"/>
      <c r="B108" s="44" t="n"/>
      <c r="C108" s="45" t="n"/>
      <c r="D108" s="44" t="n"/>
      <c r="E108" s="49">
        <f>IF(A108="","",DATE(YEAR(A108),MONTH(A108),1))</f>
        <v/>
      </c>
    </row>
    <row r="109">
      <c r="A109" s="48" t="n"/>
      <c r="B109" s="44" t="n"/>
      <c r="C109" s="45" t="n"/>
      <c r="D109" s="44" t="n"/>
      <c r="E109" s="49">
        <f>IF(A109="","",DATE(YEAR(A109),MONTH(A109),1))</f>
        <v/>
      </c>
    </row>
    <row r="110">
      <c r="A110" s="48" t="n"/>
      <c r="B110" s="44" t="n"/>
      <c r="C110" s="45" t="n"/>
      <c r="D110" s="44" t="n"/>
      <c r="E110" s="49">
        <f>IF(A110="","",DATE(YEAR(A110),MONTH(A110),1))</f>
        <v/>
      </c>
    </row>
    <row r="111">
      <c r="A111" s="48" t="n"/>
      <c r="B111" s="44" t="n"/>
      <c r="C111" s="45" t="n"/>
      <c r="D111" s="44" t="n"/>
      <c r="E111" s="49">
        <f>IF(A111="","",DATE(YEAR(A111),MONTH(A111),1))</f>
        <v/>
      </c>
    </row>
    <row r="112">
      <c r="A112" s="48" t="n"/>
      <c r="B112" s="44" t="n"/>
      <c r="C112" s="45" t="n"/>
      <c r="D112" s="44" t="n"/>
      <c r="E112" s="49">
        <f>IF(A112="","",DATE(YEAR(A112),MONTH(A112),1))</f>
        <v/>
      </c>
    </row>
    <row r="113">
      <c r="A113" s="48" t="n"/>
      <c r="B113" s="44" t="n"/>
      <c r="C113" s="45" t="n"/>
      <c r="D113" s="44" t="n"/>
      <c r="E113" s="49">
        <f>IF(A113="","",DATE(YEAR(A113),MONTH(A113),1))</f>
        <v/>
      </c>
    </row>
    <row r="114">
      <c r="A114" s="48" t="n"/>
      <c r="B114" s="44" t="n"/>
      <c r="C114" s="45" t="n"/>
      <c r="D114" s="44" t="n"/>
      <c r="E114" s="49">
        <f>IF(A114="","",DATE(YEAR(A114),MONTH(A114),1))</f>
        <v/>
      </c>
    </row>
    <row r="115">
      <c r="A115" s="48" t="n"/>
      <c r="B115" s="44" t="n"/>
      <c r="C115" s="45" t="n"/>
      <c r="D115" s="44" t="n"/>
      <c r="E115" s="49">
        <f>IF(A115="","",DATE(YEAR(A115),MONTH(A115),1))</f>
        <v/>
      </c>
    </row>
    <row r="116">
      <c r="A116" s="48" t="n"/>
      <c r="B116" s="44" t="n"/>
      <c r="C116" s="45" t="n"/>
      <c r="D116" s="44" t="n"/>
      <c r="E116" s="49">
        <f>IF(A116="","",DATE(YEAR(A116),MONTH(A116),1))</f>
        <v/>
      </c>
    </row>
    <row r="117">
      <c r="A117" s="48" t="n"/>
      <c r="B117" s="44" t="n"/>
      <c r="C117" s="45" t="n"/>
      <c r="D117" s="44" t="n"/>
      <c r="E117" s="49">
        <f>IF(A117="","",DATE(YEAR(A117),MONTH(A117),1))</f>
        <v/>
      </c>
    </row>
    <row r="118">
      <c r="A118" s="48" t="n"/>
      <c r="B118" s="44" t="n"/>
      <c r="C118" s="45" t="n"/>
      <c r="D118" s="44" t="n"/>
      <c r="E118" s="49">
        <f>IF(A118="","",DATE(YEAR(A118),MONTH(A118),1))</f>
        <v/>
      </c>
    </row>
    <row r="119">
      <c r="A119" s="48" t="n"/>
      <c r="B119" s="44" t="n"/>
      <c r="C119" s="45" t="n"/>
      <c r="D119" s="44" t="n"/>
      <c r="E119" s="49">
        <f>IF(A119="","",DATE(YEAR(A119),MONTH(A119),1))</f>
        <v/>
      </c>
    </row>
    <row r="120">
      <c r="A120" s="48" t="n"/>
      <c r="B120" s="44" t="n"/>
      <c r="C120" s="45" t="n"/>
      <c r="D120" s="44" t="n"/>
      <c r="E120" s="49">
        <f>IF(A120="","",DATE(YEAR(A120),MONTH(A120),1))</f>
        <v/>
      </c>
    </row>
    <row r="121">
      <c r="A121" s="48" t="n"/>
      <c r="B121" s="44" t="n"/>
      <c r="C121" s="45" t="n"/>
      <c r="D121" s="44" t="n"/>
      <c r="E121" s="49">
        <f>IF(A121="","",DATE(YEAR(A121),MONTH(A121),1))</f>
        <v/>
      </c>
    </row>
    <row r="122">
      <c r="A122" s="48" t="n"/>
      <c r="B122" s="44" t="n"/>
      <c r="C122" s="45" t="n"/>
      <c r="D122" s="44" t="n"/>
      <c r="E122" s="49">
        <f>IF(A122="","",DATE(YEAR(A122),MONTH(A122),1))</f>
        <v/>
      </c>
    </row>
    <row r="123">
      <c r="A123" s="48" t="n"/>
      <c r="B123" s="44" t="n"/>
      <c r="C123" s="45" t="n"/>
      <c r="D123" s="44" t="n"/>
      <c r="E123" s="49">
        <f>IF(A123="","",DATE(YEAR(A123),MONTH(A123),1))</f>
        <v/>
      </c>
    </row>
    <row r="124">
      <c r="A124" s="48" t="n"/>
      <c r="B124" s="44" t="n"/>
      <c r="C124" s="45" t="n"/>
      <c r="D124" s="44" t="n"/>
      <c r="E124" s="49">
        <f>IF(A124="","",DATE(YEAR(A124),MONTH(A124),1))</f>
        <v/>
      </c>
    </row>
    <row r="125">
      <c r="A125" s="48" t="n"/>
      <c r="B125" s="44" t="n"/>
      <c r="C125" s="45" t="n"/>
      <c r="D125" s="44" t="n"/>
      <c r="E125" s="49">
        <f>IF(A125="","",DATE(YEAR(A125),MONTH(A125),1))</f>
        <v/>
      </c>
    </row>
    <row r="126">
      <c r="A126" s="48" t="n"/>
      <c r="B126" s="44" t="n"/>
      <c r="C126" s="45" t="n"/>
      <c r="D126" s="44" t="n"/>
      <c r="E126" s="49">
        <f>IF(A126="","",DATE(YEAR(A126),MONTH(A126),1))</f>
        <v/>
      </c>
    </row>
    <row r="127">
      <c r="A127" s="48" t="n"/>
      <c r="B127" s="44" t="n"/>
      <c r="C127" s="45" t="n"/>
      <c r="D127" s="44" t="n"/>
      <c r="E127" s="49">
        <f>IF(A127="","",DATE(YEAR(A127),MONTH(A127),1))</f>
        <v/>
      </c>
    </row>
    <row r="128">
      <c r="A128" s="48" t="n"/>
      <c r="B128" s="44" t="n"/>
      <c r="C128" s="45" t="n"/>
      <c r="D128" s="44" t="n"/>
      <c r="E128" s="49">
        <f>IF(A128="","",DATE(YEAR(A128),MONTH(A128),1))</f>
        <v/>
      </c>
    </row>
    <row r="129">
      <c r="A129" s="48" t="n"/>
      <c r="B129" s="44" t="n"/>
      <c r="C129" s="45" t="n"/>
      <c r="D129" s="44" t="n"/>
      <c r="E129" s="49">
        <f>IF(A129="","",DATE(YEAR(A129),MONTH(A129),1))</f>
        <v/>
      </c>
    </row>
    <row r="130">
      <c r="A130" s="48" t="n"/>
      <c r="B130" s="44" t="n"/>
      <c r="C130" s="45" t="n"/>
      <c r="D130" s="44" t="n"/>
      <c r="E130" s="49">
        <f>IF(A130="","",DATE(YEAR(A130),MONTH(A130),1))</f>
        <v/>
      </c>
    </row>
    <row r="131">
      <c r="A131" s="48" t="n"/>
      <c r="B131" s="44" t="n"/>
      <c r="C131" s="45" t="n"/>
      <c r="D131" s="44" t="n"/>
      <c r="E131" s="49">
        <f>IF(A131="","",DATE(YEAR(A131),MONTH(A131),1))</f>
        <v/>
      </c>
    </row>
    <row r="132">
      <c r="A132" s="48" t="n"/>
      <c r="B132" s="44" t="n"/>
      <c r="C132" s="45" t="n"/>
      <c r="D132" s="44" t="n"/>
      <c r="E132" s="49">
        <f>IF(A132="","",DATE(YEAR(A132),MONTH(A132),1))</f>
        <v/>
      </c>
    </row>
    <row r="133">
      <c r="A133" s="48" t="n"/>
      <c r="B133" s="44" t="n"/>
      <c r="C133" s="45" t="n"/>
      <c r="D133" s="44" t="n"/>
      <c r="E133" s="49">
        <f>IF(A133="","",DATE(YEAR(A133),MONTH(A133),1))</f>
        <v/>
      </c>
    </row>
    <row r="134">
      <c r="A134" s="48" t="n"/>
      <c r="B134" s="44" t="n"/>
      <c r="C134" s="45" t="n"/>
      <c r="D134" s="44" t="n"/>
      <c r="E134" s="49">
        <f>IF(A134="","",DATE(YEAR(A134),MONTH(A134),1))</f>
        <v/>
      </c>
    </row>
    <row r="135">
      <c r="A135" s="48" t="n"/>
      <c r="B135" s="44" t="n"/>
      <c r="C135" s="45" t="n"/>
      <c r="D135" s="44" t="n"/>
      <c r="E135" s="49">
        <f>IF(A135="","",DATE(YEAR(A135),MONTH(A135),1))</f>
        <v/>
      </c>
    </row>
    <row r="136">
      <c r="A136" s="48" t="n"/>
      <c r="B136" s="44" t="n"/>
      <c r="C136" s="45" t="n"/>
      <c r="D136" s="44" t="n"/>
      <c r="E136" s="49">
        <f>IF(A136="","",DATE(YEAR(A136),MONTH(A136),1))</f>
        <v/>
      </c>
    </row>
    <row r="137">
      <c r="A137" s="48" t="n"/>
      <c r="B137" s="44" t="n"/>
      <c r="C137" s="45" t="n"/>
      <c r="D137" s="44" t="n"/>
      <c r="E137" s="49">
        <f>IF(A137="","",DATE(YEAR(A137),MONTH(A137),1))</f>
        <v/>
      </c>
    </row>
    <row r="138">
      <c r="A138" s="48" t="n"/>
      <c r="B138" s="44" t="n"/>
      <c r="C138" s="45" t="n"/>
      <c r="D138" s="44" t="n"/>
      <c r="E138" s="49">
        <f>IF(A138="","",DATE(YEAR(A138),MONTH(A138),1))</f>
        <v/>
      </c>
    </row>
    <row r="139">
      <c r="A139" s="48" t="n"/>
      <c r="B139" s="44" t="n"/>
      <c r="C139" s="45" t="n"/>
      <c r="D139" s="44" t="n"/>
      <c r="E139" s="49">
        <f>IF(A139="","",DATE(YEAR(A139),MONTH(A139),1))</f>
        <v/>
      </c>
    </row>
    <row r="140">
      <c r="A140" s="48" t="n"/>
      <c r="B140" s="44" t="n"/>
      <c r="C140" s="45" t="n"/>
      <c r="D140" s="44" t="n"/>
      <c r="E140" s="49">
        <f>IF(A140="","",DATE(YEAR(A140),MONTH(A140),1))</f>
        <v/>
      </c>
    </row>
    <row r="141">
      <c r="A141" s="48" t="n"/>
      <c r="B141" s="44" t="n"/>
      <c r="C141" s="45" t="n"/>
      <c r="D141" s="44" t="n"/>
      <c r="E141" s="49">
        <f>IF(A141="","",DATE(YEAR(A141),MONTH(A141),1))</f>
        <v/>
      </c>
    </row>
    <row r="142">
      <c r="A142" s="48" t="n"/>
      <c r="B142" s="44" t="n"/>
      <c r="C142" s="45" t="n"/>
      <c r="D142" s="44" t="n"/>
      <c r="E142" s="49">
        <f>IF(A142="","",DATE(YEAR(A142),MONTH(A142),1))</f>
        <v/>
      </c>
    </row>
    <row r="143">
      <c r="A143" s="48" t="n"/>
      <c r="B143" s="44" t="n"/>
      <c r="C143" s="45" t="n"/>
      <c r="D143" s="44" t="n"/>
      <c r="E143" s="49">
        <f>IF(A143="","",DATE(YEAR(A143),MONTH(A143),1))</f>
        <v/>
      </c>
    </row>
    <row r="144">
      <c r="A144" s="48" t="n"/>
      <c r="B144" s="44" t="n"/>
      <c r="C144" s="45" t="n"/>
      <c r="D144" s="44" t="n"/>
      <c r="E144" s="49">
        <f>IF(A144="","",DATE(YEAR(A144),MONTH(A144),1))</f>
        <v/>
      </c>
    </row>
    <row r="145">
      <c r="A145" s="48" t="n"/>
      <c r="B145" s="44" t="n"/>
      <c r="C145" s="45" t="n"/>
      <c r="D145" s="44" t="n"/>
      <c r="E145" s="49">
        <f>IF(A145="","",DATE(YEAR(A145),MONTH(A145),1))</f>
        <v/>
      </c>
    </row>
    <row r="146">
      <c r="A146" s="48" t="n"/>
      <c r="B146" s="44" t="n"/>
      <c r="C146" s="45" t="n"/>
      <c r="D146" s="44" t="n"/>
      <c r="E146" s="49">
        <f>IF(A146="","",DATE(YEAR(A146),MONTH(A146),1))</f>
        <v/>
      </c>
    </row>
    <row r="147">
      <c r="A147" s="48" t="n"/>
      <c r="B147" s="44" t="n"/>
      <c r="C147" s="45" t="n"/>
      <c r="D147" s="44" t="n"/>
      <c r="E147" s="49">
        <f>IF(A147="","",DATE(YEAR(A147),MONTH(A147),1))</f>
        <v/>
      </c>
    </row>
    <row r="148">
      <c r="A148" s="48" t="n"/>
      <c r="B148" s="44" t="n"/>
      <c r="C148" s="45" t="n"/>
      <c r="D148" s="44" t="n"/>
      <c r="E148" s="49">
        <f>IF(A148="","",DATE(YEAR(A148),MONTH(A148),1))</f>
        <v/>
      </c>
    </row>
    <row r="149">
      <c r="A149" s="48" t="n"/>
      <c r="B149" s="44" t="n"/>
      <c r="C149" s="45" t="n"/>
      <c r="D149" s="44" t="n"/>
      <c r="E149" s="49">
        <f>IF(A149="","",DATE(YEAR(A149),MONTH(A149),1))</f>
        <v/>
      </c>
    </row>
    <row r="150">
      <c r="A150" s="48" t="n"/>
      <c r="B150" s="44" t="n"/>
      <c r="C150" s="45" t="n"/>
      <c r="D150" s="44" t="n"/>
      <c r="E150" s="49">
        <f>IF(A150="","",DATE(YEAR(A150),MONTH(A150),1))</f>
        <v/>
      </c>
    </row>
    <row r="151">
      <c r="A151" s="48" t="n"/>
      <c r="B151" s="44" t="n"/>
      <c r="C151" s="45" t="n"/>
      <c r="D151" s="44" t="n"/>
      <c r="E151" s="49">
        <f>IF(A151="","",DATE(YEAR(A151),MONTH(A151),1))</f>
        <v/>
      </c>
    </row>
    <row r="152">
      <c r="A152" s="48" t="n"/>
      <c r="B152" s="44" t="n"/>
      <c r="C152" s="45" t="n"/>
      <c r="D152" s="44" t="n"/>
      <c r="E152" s="49">
        <f>IF(A152="","",DATE(YEAR(A152),MONTH(A152),1))</f>
        <v/>
      </c>
    </row>
    <row r="153">
      <c r="A153" s="48" t="n"/>
      <c r="B153" s="44" t="n"/>
      <c r="C153" s="45" t="n"/>
      <c r="D153" s="44" t="n"/>
      <c r="E153" s="49">
        <f>IF(A153="","",DATE(YEAR(A153),MONTH(A153),1))</f>
        <v/>
      </c>
    </row>
    <row r="154">
      <c r="A154" s="48" t="n"/>
      <c r="B154" s="44" t="n"/>
      <c r="C154" s="45" t="n"/>
      <c r="D154" s="44" t="n"/>
      <c r="E154" s="49">
        <f>IF(A154="","",DATE(YEAR(A154),MONTH(A154),1))</f>
        <v/>
      </c>
    </row>
    <row r="155">
      <c r="A155" s="48" t="n"/>
      <c r="B155" s="44" t="n"/>
      <c r="C155" s="45" t="n"/>
      <c r="D155" s="44" t="n"/>
      <c r="E155" s="49">
        <f>IF(A155="","",DATE(YEAR(A155),MONTH(A155),1))</f>
        <v/>
      </c>
    </row>
    <row r="156">
      <c r="A156" s="48" t="n"/>
      <c r="B156" s="44" t="n"/>
      <c r="C156" s="45" t="n"/>
      <c r="D156" s="44" t="n"/>
      <c r="E156" s="49">
        <f>IF(A156="","",DATE(YEAR(A156),MONTH(A156),1))</f>
        <v/>
      </c>
    </row>
    <row r="157">
      <c r="A157" s="48" t="n"/>
      <c r="B157" s="44" t="n"/>
      <c r="C157" s="45" t="n"/>
      <c r="D157" s="44" t="n"/>
      <c r="E157" s="49">
        <f>IF(A157="","",DATE(YEAR(A157),MONTH(A157),1))</f>
        <v/>
      </c>
    </row>
    <row r="158">
      <c r="A158" s="48" t="n"/>
      <c r="B158" s="44" t="n"/>
      <c r="C158" s="45" t="n"/>
      <c r="D158" s="44" t="n"/>
      <c r="E158" s="49">
        <f>IF(A158="","",DATE(YEAR(A158),MONTH(A158),1))</f>
        <v/>
      </c>
    </row>
    <row r="159">
      <c r="A159" s="48" t="n"/>
      <c r="B159" s="44" t="n"/>
      <c r="C159" s="45" t="n"/>
      <c r="D159" s="44" t="n"/>
      <c r="E159" s="49">
        <f>IF(A159="","",DATE(YEAR(A159),MONTH(A159),1))</f>
        <v/>
      </c>
    </row>
    <row r="160">
      <c r="A160" s="48" t="n"/>
      <c r="B160" s="44" t="n"/>
      <c r="C160" s="45" t="n"/>
      <c r="D160" s="44" t="n"/>
      <c r="E160" s="49">
        <f>IF(A160="","",DATE(YEAR(A160),MONTH(A160),1))</f>
        <v/>
      </c>
    </row>
    <row r="161">
      <c r="A161" s="48" t="n"/>
      <c r="B161" s="44" t="n"/>
      <c r="C161" s="45" t="n"/>
      <c r="D161" s="44" t="n"/>
      <c r="E161" s="49">
        <f>IF(A161="","",DATE(YEAR(A161),MONTH(A161),1))</f>
        <v/>
      </c>
    </row>
    <row r="162">
      <c r="A162" s="48" t="n"/>
      <c r="B162" s="44" t="n"/>
      <c r="C162" s="45" t="n"/>
      <c r="D162" s="44" t="n"/>
      <c r="E162" s="49">
        <f>IF(A162="","",DATE(YEAR(A162),MONTH(A162),1))</f>
        <v/>
      </c>
    </row>
    <row r="163">
      <c r="A163" s="48" t="n"/>
      <c r="B163" s="44" t="n"/>
      <c r="C163" s="45" t="n"/>
      <c r="D163" s="44" t="n"/>
      <c r="E163" s="49">
        <f>IF(A163="","",DATE(YEAR(A163),MONTH(A163),1))</f>
        <v/>
      </c>
    </row>
    <row r="164">
      <c r="A164" s="48" t="n"/>
      <c r="B164" s="44" t="n"/>
      <c r="C164" s="45" t="n"/>
      <c r="D164" s="44" t="n"/>
      <c r="E164" s="49">
        <f>IF(A164="","",DATE(YEAR(A164),MONTH(A164),1))</f>
        <v/>
      </c>
    </row>
    <row r="165">
      <c r="A165" s="48" t="n"/>
      <c r="B165" s="44" t="n"/>
      <c r="C165" s="45" t="n"/>
      <c r="D165" s="44" t="n"/>
      <c r="E165" s="49">
        <f>IF(A165="","",DATE(YEAR(A165),MONTH(A165),1))</f>
        <v/>
      </c>
    </row>
    <row r="166">
      <c r="A166" s="48" t="n"/>
      <c r="B166" s="44" t="n"/>
      <c r="C166" s="45" t="n"/>
      <c r="D166" s="44" t="n"/>
      <c r="E166" s="49">
        <f>IF(A166="","",DATE(YEAR(A166),MONTH(A166),1))</f>
        <v/>
      </c>
    </row>
    <row r="167">
      <c r="A167" s="48" t="n"/>
      <c r="B167" s="44" t="n"/>
      <c r="C167" s="45" t="n"/>
      <c r="D167" s="44" t="n"/>
      <c r="E167" s="49">
        <f>IF(A167="","",DATE(YEAR(A167),MONTH(A167),1))</f>
        <v/>
      </c>
    </row>
    <row r="168">
      <c r="A168" s="48" t="n"/>
      <c r="B168" s="44" t="n"/>
      <c r="C168" s="45" t="n"/>
      <c r="D168" s="44" t="n"/>
      <c r="E168" s="49">
        <f>IF(A168="","",DATE(YEAR(A168),MONTH(A168),1))</f>
        <v/>
      </c>
    </row>
    <row r="169">
      <c r="A169" s="48" t="n"/>
      <c r="B169" s="44" t="n"/>
      <c r="C169" s="45" t="n"/>
      <c r="D169" s="44" t="n"/>
      <c r="E169" s="49">
        <f>IF(A169="","",DATE(YEAR(A169),MONTH(A169),1))</f>
        <v/>
      </c>
    </row>
    <row r="170">
      <c r="A170" s="48" t="n"/>
      <c r="B170" s="44" t="n"/>
      <c r="C170" s="45" t="n"/>
      <c r="D170" s="44" t="n"/>
      <c r="E170" s="49">
        <f>IF(A170="","",DATE(YEAR(A170),MONTH(A170),1))</f>
        <v/>
      </c>
    </row>
    <row r="171">
      <c r="A171" s="48" t="n"/>
      <c r="B171" s="44" t="n"/>
      <c r="C171" s="45" t="n"/>
      <c r="D171" s="44" t="n"/>
      <c r="E171" s="49">
        <f>IF(A171="","",DATE(YEAR(A171),MONTH(A171),1))</f>
        <v/>
      </c>
    </row>
    <row r="172">
      <c r="A172" s="48" t="n"/>
      <c r="B172" s="44" t="n"/>
      <c r="C172" s="45" t="n"/>
      <c r="D172" s="44" t="n"/>
      <c r="E172" s="49">
        <f>IF(A172="","",DATE(YEAR(A172),MONTH(A172),1))</f>
        <v/>
      </c>
    </row>
    <row r="173">
      <c r="A173" s="48" t="n"/>
      <c r="B173" s="44" t="n"/>
      <c r="C173" s="45" t="n"/>
      <c r="D173" s="44" t="n"/>
      <c r="E173" s="49">
        <f>IF(A173="","",DATE(YEAR(A173),MONTH(A173),1))</f>
        <v/>
      </c>
    </row>
    <row r="174">
      <c r="A174" s="48" t="n"/>
      <c r="B174" s="44" t="n"/>
      <c r="C174" s="45" t="n"/>
      <c r="D174" s="44" t="n"/>
      <c r="E174" s="49">
        <f>IF(A174="","",DATE(YEAR(A174),MONTH(A174),1))</f>
        <v/>
      </c>
    </row>
    <row r="175">
      <c r="A175" s="48" t="n"/>
      <c r="B175" s="44" t="n"/>
      <c r="C175" s="45" t="n"/>
      <c r="D175" s="44" t="n"/>
      <c r="E175" s="49">
        <f>IF(A175="","",DATE(YEAR(A175),MONTH(A175),1))</f>
        <v/>
      </c>
    </row>
    <row r="176">
      <c r="A176" s="48" t="n"/>
      <c r="B176" s="44" t="n"/>
      <c r="C176" s="45" t="n"/>
      <c r="D176" s="44" t="n"/>
      <c r="E176" s="49">
        <f>IF(A176="","",DATE(YEAR(A176),MONTH(A176),1))</f>
        <v/>
      </c>
    </row>
    <row r="177">
      <c r="A177" s="48" t="n"/>
      <c r="B177" s="44" t="n"/>
      <c r="C177" s="45" t="n"/>
      <c r="D177" s="44" t="n"/>
      <c r="E177" s="49">
        <f>IF(A177="","",DATE(YEAR(A177),MONTH(A177),1))</f>
        <v/>
      </c>
    </row>
    <row r="178">
      <c r="A178" s="48" t="n"/>
      <c r="B178" s="44" t="n"/>
      <c r="C178" s="45" t="n"/>
      <c r="D178" s="44" t="n"/>
      <c r="E178" s="49">
        <f>IF(A178="","",DATE(YEAR(A178),MONTH(A178),1))</f>
        <v/>
      </c>
    </row>
    <row r="179">
      <c r="A179" s="48" t="n"/>
      <c r="B179" s="44" t="n"/>
      <c r="C179" s="45" t="n"/>
      <c r="D179" s="44" t="n"/>
      <c r="E179" s="49">
        <f>IF(A179="","",DATE(YEAR(A179),MONTH(A179),1))</f>
        <v/>
      </c>
    </row>
    <row r="180">
      <c r="A180" s="48" t="n"/>
      <c r="B180" s="44" t="n"/>
      <c r="C180" s="45" t="n"/>
      <c r="D180" s="44" t="n"/>
      <c r="E180" s="49">
        <f>IF(A180="","",DATE(YEAR(A180),MONTH(A180),1))</f>
        <v/>
      </c>
    </row>
    <row r="181">
      <c r="A181" s="48" t="n"/>
      <c r="B181" s="44" t="n"/>
      <c r="C181" s="45" t="n"/>
      <c r="D181" s="44" t="n"/>
      <c r="E181" s="49">
        <f>IF(A181="","",DATE(YEAR(A181),MONTH(A181),1))</f>
        <v/>
      </c>
    </row>
    <row r="182">
      <c r="A182" s="48" t="n"/>
      <c r="B182" s="44" t="n"/>
      <c r="C182" s="45" t="n"/>
      <c r="D182" s="44" t="n"/>
      <c r="E182" s="49">
        <f>IF(A182="","",DATE(YEAR(A182),MONTH(A182),1))</f>
        <v/>
      </c>
    </row>
    <row r="183">
      <c r="A183" s="48" t="n"/>
      <c r="B183" s="44" t="n"/>
      <c r="C183" s="45" t="n"/>
      <c r="D183" s="44" t="n"/>
      <c r="E183" s="49">
        <f>IF(A183="","",DATE(YEAR(A183),MONTH(A183),1))</f>
        <v/>
      </c>
    </row>
    <row r="184">
      <c r="A184" s="48" t="n"/>
      <c r="B184" s="44" t="n"/>
      <c r="C184" s="45" t="n"/>
      <c r="D184" s="44" t="n"/>
      <c r="E184" s="49">
        <f>IF(A184="","",DATE(YEAR(A184),MONTH(A184),1))</f>
        <v/>
      </c>
    </row>
    <row r="185">
      <c r="A185" s="48" t="n"/>
      <c r="B185" s="44" t="n"/>
      <c r="C185" s="45" t="n"/>
      <c r="D185" s="44" t="n"/>
      <c r="E185" s="49">
        <f>IF(A185="","",DATE(YEAR(A185),MONTH(A185),1))</f>
        <v/>
      </c>
    </row>
    <row r="186">
      <c r="A186" s="48" t="n"/>
      <c r="B186" s="44" t="n"/>
      <c r="C186" s="45" t="n"/>
      <c r="D186" s="44" t="n"/>
      <c r="E186" s="49">
        <f>IF(A186="","",DATE(YEAR(A186),MONTH(A186),1))</f>
        <v/>
      </c>
    </row>
    <row r="187">
      <c r="A187" s="48" t="n"/>
      <c r="B187" s="44" t="n"/>
      <c r="C187" s="45" t="n"/>
      <c r="D187" s="44" t="n"/>
      <c r="E187" s="49">
        <f>IF(A187="","",DATE(YEAR(A187),MONTH(A187),1))</f>
        <v/>
      </c>
    </row>
    <row r="188">
      <c r="A188" s="48" t="n"/>
      <c r="B188" s="44" t="n"/>
      <c r="C188" s="45" t="n"/>
      <c r="D188" s="44" t="n"/>
      <c r="E188" s="49">
        <f>IF(A188="","",DATE(YEAR(A188),MONTH(A188),1))</f>
        <v/>
      </c>
    </row>
    <row r="189">
      <c r="A189" s="48" t="n"/>
      <c r="B189" s="44" t="n"/>
      <c r="C189" s="45" t="n"/>
      <c r="D189" s="44" t="n"/>
      <c r="E189" s="49">
        <f>IF(A189="","",DATE(YEAR(A189),MONTH(A189),1))</f>
        <v/>
      </c>
    </row>
    <row r="190">
      <c r="A190" s="48" t="n"/>
      <c r="B190" s="44" t="n"/>
      <c r="C190" s="45" t="n"/>
      <c r="D190" s="44" t="n"/>
      <c r="E190" s="49">
        <f>IF(A190="","",DATE(YEAR(A190),MONTH(A190),1))</f>
        <v/>
      </c>
    </row>
    <row r="191">
      <c r="A191" s="48" t="n"/>
      <c r="B191" s="44" t="n"/>
      <c r="C191" s="45" t="n"/>
      <c r="D191" s="44" t="n"/>
      <c r="E191" s="49">
        <f>IF(A191="","",DATE(YEAR(A191),MONTH(A191),1))</f>
        <v/>
      </c>
    </row>
    <row r="192">
      <c r="A192" s="48" t="n"/>
      <c r="B192" s="44" t="n"/>
      <c r="C192" s="45" t="n"/>
      <c r="D192" s="44" t="n"/>
      <c r="E192" s="49">
        <f>IF(A192="","",DATE(YEAR(A192),MONTH(A192),1))</f>
        <v/>
      </c>
    </row>
    <row r="193">
      <c r="A193" s="48" t="n"/>
      <c r="B193" s="44" t="n"/>
      <c r="C193" s="45" t="n"/>
      <c r="D193" s="44" t="n"/>
      <c r="E193" s="49">
        <f>IF(A193="","",DATE(YEAR(A193),MONTH(A193),1))</f>
        <v/>
      </c>
    </row>
    <row r="194">
      <c r="A194" s="48" t="n"/>
      <c r="B194" s="44" t="n"/>
      <c r="C194" s="45" t="n"/>
      <c r="D194" s="44" t="n"/>
      <c r="E194" s="49">
        <f>IF(A194="","",DATE(YEAR(A194),MONTH(A194),1))</f>
        <v/>
      </c>
    </row>
    <row r="195">
      <c r="A195" s="48" t="n"/>
      <c r="B195" s="44" t="n"/>
      <c r="C195" s="45" t="n"/>
      <c r="D195" s="44" t="n"/>
      <c r="E195" s="49">
        <f>IF(A195="","",DATE(YEAR(A195),MONTH(A195),1))</f>
        <v/>
      </c>
    </row>
    <row r="196">
      <c r="A196" s="48" t="n"/>
      <c r="B196" s="44" t="n"/>
      <c r="C196" s="45" t="n"/>
      <c r="D196" s="44" t="n"/>
      <c r="E196" s="49">
        <f>IF(A196="","",DATE(YEAR(A196),MONTH(A196),1))</f>
        <v/>
      </c>
    </row>
    <row r="197">
      <c r="A197" s="48" t="n"/>
      <c r="B197" s="44" t="n"/>
      <c r="C197" s="45" t="n"/>
      <c r="D197" s="44" t="n"/>
      <c r="E197" s="49">
        <f>IF(A197="","",DATE(YEAR(A197),MONTH(A197),1))</f>
        <v/>
      </c>
    </row>
    <row r="198">
      <c r="A198" s="48" t="n"/>
      <c r="B198" s="44" t="n"/>
      <c r="C198" s="45" t="n"/>
      <c r="D198" s="44" t="n"/>
      <c r="E198" s="49">
        <f>IF(A198="","",DATE(YEAR(A198),MONTH(A198),1))</f>
        <v/>
      </c>
    </row>
    <row r="199">
      <c r="A199" s="48" t="n"/>
      <c r="B199" s="44" t="n"/>
      <c r="C199" s="45" t="n"/>
      <c r="D199" s="44" t="n"/>
      <c r="E199" s="49">
        <f>IF(A199="","",DATE(YEAR(A199),MONTH(A199),1))</f>
        <v/>
      </c>
    </row>
    <row r="200">
      <c r="A200" s="48" t="n"/>
      <c r="B200" s="44" t="n"/>
      <c r="C200" s="45" t="n"/>
      <c r="D200" s="44" t="n"/>
      <c r="E200" s="49">
        <f>IF(A200="","",DATE(YEAR(A200),MONTH(A200),1))</f>
        <v/>
      </c>
    </row>
    <row r="201">
      <c r="A201" s="48" t="n"/>
      <c r="B201" s="44" t="n"/>
      <c r="C201" s="45" t="n"/>
      <c r="D201" s="44" t="n"/>
      <c r="E201" s="49">
        <f>IF(A201="","",DATE(YEAR(A201),MONTH(A201),1))</f>
        <v/>
      </c>
    </row>
    <row r="202">
      <c r="A202" s="48" t="n"/>
      <c r="B202" s="44" t="n"/>
      <c r="C202" s="45" t="n"/>
      <c r="D202" s="44" t="n"/>
      <c r="E202" s="49">
        <f>IF(A202="","",DATE(YEAR(A202),MONTH(A202),1))</f>
        <v/>
      </c>
    </row>
    <row r="203">
      <c r="A203" s="48" t="n"/>
      <c r="B203" s="44" t="n"/>
      <c r="C203" s="45" t="n"/>
      <c r="D203" s="44" t="n"/>
      <c r="E203" s="49">
        <f>IF(A203="","",DATE(YEAR(A203),MONTH(A203),1))</f>
        <v/>
      </c>
    </row>
    <row r="204">
      <c r="A204" s="48" t="n"/>
      <c r="B204" s="44" t="n"/>
      <c r="C204" s="45" t="n"/>
      <c r="D204" s="44" t="n"/>
      <c r="E204" s="49">
        <f>IF(A204="","",DATE(YEAR(A204),MONTH(A204),1))</f>
        <v/>
      </c>
    </row>
    <row r="205">
      <c r="A205" s="48" t="n"/>
      <c r="B205" s="44" t="n"/>
      <c r="C205" s="45" t="n"/>
      <c r="D205" s="44" t="n"/>
      <c r="E205" s="49">
        <f>IF(A205="","",DATE(YEAR(A205),MONTH(A205),1))</f>
        <v/>
      </c>
    </row>
    <row r="206">
      <c r="A206" s="48" t="n"/>
      <c r="B206" s="44" t="n"/>
      <c r="C206" s="45" t="n"/>
      <c r="D206" s="44" t="n"/>
      <c r="E206" s="49">
        <f>IF(A206="","",DATE(YEAR(A206),MONTH(A206),1))</f>
        <v/>
      </c>
    </row>
    <row r="207">
      <c r="A207" s="48" t="n"/>
      <c r="B207" s="44" t="n"/>
      <c r="C207" s="45" t="n"/>
      <c r="D207" s="44" t="n"/>
      <c r="E207" s="49">
        <f>IF(A207="","",DATE(YEAR(A207),MONTH(A207),1))</f>
        <v/>
      </c>
    </row>
    <row r="208">
      <c r="A208" s="48" t="n"/>
      <c r="B208" s="44" t="n"/>
      <c r="C208" s="45" t="n"/>
      <c r="D208" s="44" t="n"/>
      <c r="E208" s="49">
        <f>IF(A208="","",DATE(YEAR(A208),MONTH(A208),1))</f>
        <v/>
      </c>
    </row>
    <row r="209">
      <c r="A209" s="48" t="n"/>
      <c r="B209" s="44" t="n"/>
      <c r="C209" s="45" t="n"/>
      <c r="D209" s="44" t="n"/>
      <c r="E209" s="49">
        <f>IF(A209="","",DATE(YEAR(A209),MONTH(A209),1))</f>
        <v/>
      </c>
    </row>
    <row r="210">
      <c r="A210" s="48" t="n"/>
      <c r="B210" s="44" t="n"/>
      <c r="C210" s="45" t="n"/>
      <c r="D210" s="44" t="n"/>
      <c r="E210" s="49">
        <f>IF(A210="","",DATE(YEAR(A210),MONTH(A210),1))</f>
        <v/>
      </c>
    </row>
    <row r="211">
      <c r="A211" s="48" t="n"/>
      <c r="B211" s="44" t="n"/>
      <c r="C211" s="45" t="n"/>
      <c r="D211" s="44" t="n"/>
      <c r="E211" s="49">
        <f>IF(A211="","",DATE(YEAR(A211),MONTH(A211),1))</f>
        <v/>
      </c>
    </row>
    <row r="212">
      <c r="A212" s="48" t="n"/>
      <c r="B212" s="44" t="n"/>
      <c r="C212" s="45" t="n"/>
      <c r="D212" s="44" t="n"/>
      <c r="E212" s="49">
        <f>IF(A212="","",DATE(YEAR(A212),MONTH(A212),1))</f>
        <v/>
      </c>
    </row>
    <row r="213">
      <c r="A213" s="48" t="n"/>
      <c r="B213" s="44" t="n"/>
      <c r="C213" s="45" t="n"/>
      <c r="D213" s="44" t="n"/>
      <c r="E213" s="49">
        <f>IF(A213="","",DATE(YEAR(A213),MONTH(A213),1))</f>
        <v/>
      </c>
    </row>
    <row r="214">
      <c r="A214" s="48" t="n"/>
      <c r="B214" s="44" t="n"/>
      <c r="C214" s="45" t="n"/>
      <c r="D214" s="44" t="n"/>
      <c r="E214" s="49">
        <f>IF(A214="","",DATE(YEAR(A214),MONTH(A214),1))</f>
        <v/>
      </c>
    </row>
    <row r="215">
      <c r="A215" s="48" t="n"/>
      <c r="B215" s="44" t="n"/>
      <c r="C215" s="45" t="n"/>
      <c r="D215" s="44" t="n"/>
      <c r="E215" s="49">
        <f>IF(A215="","",DATE(YEAR(A215),MONTH(A215),1))</f>
        <v/>
      </c>
    </row>
    <row r="216">
      <c r="A216" s="48" t="n"/>
      <c r="B216" s="44" t="n"/>
      <c r="C216" s="45" t="n"/>
      <c r="D216" s="44" t="n"/>
      <c r="E216" s="49">
        <f>IF(A216="","",DATE(YEAR(A216),MONTH(A216),1))</f>
        <v/>
      </c>
    </row>
    <row r="217">
      <c r="A217" s="48" t="n"/>
      <c r="B217" s="44" t="n"/>
      <c r="C217" s="45" t="n"/>
      <c r="D217" s="44" t="n"/>
      <c r="E217" s="49">
        <f>IF(A217="","",DATE(YEAR(A217),MONTH(A217),1))</f>
        <v/>
      </c>
    </row>
    <row r="218">
      <c r="A218" s="48" t="n"/>
      <c r="B218" s="44" t="n"/>
      <c r="C218" s="45" t="n"/>
      <c r="D218" s="44" t="n"/>
      <c r="E218" s="49">
        <f>IF(A218="","",DATE(YEAR(A218),MONTH(A218),1))</f>
        <v/>
      </c>
    </row>
    <row r="219">
      <c r="A219" s="48" t="n"/>
      <c r="B219" s="44" t="n"/>
      <c r="C219" s="45" t="n"/>
      <c r="D219" s="44" t="n"/>
      <c r="E219" s="49">
        <f>IF(A219="","",DATE(YEAR(A219),MONTH(A219),1))</f>
        <v/>
      </c>
    </row>
    <row r="220">
      <c r="A220" s="48" t="n"/>
      <c r="B220" s="44" t="n"/>
      <c r="C220" s="45" t="n"/>
      <c r="D220" s="44" t="n"/>
      <c r="E220" s="49">
        <f>IF(A220="","",DATE(YEAR(A220),MONTH(A220),1))</f>
        <v/>
      </c>
    </row>
    <row r="221">
      <c r="A221" s="48" t="n"/>
      <c r="B221" s="44" t="n"/>
      <c r="C221" s="45" t="n"/>
      <c r="D221" s="44" t="n"/>
      <c r="E221" s="49">
        <f>IF(A221="","",DATE(YEAR(A221),MONTH(A221),1))</f>
        <v/>
      </c>
    </row>
    <row r="222">
      <c r="A222" s="48" t="n"/>
      <c r="B222" s="44" t="n"/>
      <c r="C222" s="45" t="n"/>
      <c r="D222" s="44" t="n"/>
      <c r="E222" s="49">
        <f>IF(A222="","",DATE(YEAR(A222),MONTH(A222),1))</f>
        <v/>
      </c>
    </row>
    <row r="223">
      <c r="A223" s="48" t="n"/>
      <c r="B223" s="44" t="n"/>
      <c r="C223" s="45" t="n"/>
      <c r="D223" s="44" t="n"/>
      <c r="E223" s="49">
        <f>IF(A223="","",DATE(YEAR(A223),MONTH(A223),1))</f>
        <v/>
      </c>
    </row>
    <row r="224">
      <c r="A224" s="48" t="n"/>
      <c r="B224" s="44" t="n"/>
      <c r="C224" s="45" t="n"/>
      <c r="D224" s="44" t="n"/>
      <c r="E224" s="49">
        <f>IF(A224="","",DATE(YEAR(A224),MONTH(A224),1))</f>
        <v/>
      </c>
    </row>
    <row r="225">
      <c r="A225" s="48" t="n"/>
      <c r="B225" s="44" t="n"/>
      <c r="C225" s="45" t="n"/>
      <c r="D225" s="44" t="n"/>
      <c r="E225" s="49">
        <f>IF(A225="","",DATE(YEAR(A225),MONTH(A225),1))</f>
        <v/>
      </c>
    </row>
    <row r="226">
      <c r="A226" s="48" t="n"/>
      <c r="B226" s="44" t="n"/>
      <c r="C226" s="45" t="n"/>
      <c r="D226" s="44" t="n"/>
      <c r="E226" s="49">
        <f>IF(A226="","",DATE(YEAR(A226),MONTH(A226),1))</f>
        <v/>
      </c>
    </row>
    <row r="227">
      <c r="A227" s="48" t="n"/>
      <c r="B227" s="44" t="n"/>
      <c r="C227" s="45" t="n"/>
      <c r="D227" s="44" t="n"/>
      <c r="E227" s="49">
        <f>IF(A227="","",DATE(YEAR(A227),MONTH(A227),1))</f>
        <v/>
      </c>
    </row>
    <row r="228">
      <c r="A228" s="48" t="n"/>
      <c r="B228" s="44" t="n"/>
      <c r="C228" s="45" t="n"/>
      <c r="D228" s="44" t="n"/>
      <c r="E228" s="49">
        <f>IF(A228="","",DATE(YEAR(A228),MONTH(A228),1))</f>
        <v/>
      </c>
    </row>
    <row r="229">
      <c r="A229" s="48" t="n"/>
      <c r="B229" s="44" t="n"/>
      <c r="C229" s="45" t="n"/>
      <c r="D229" s="44" t="n"/>
      <c r="E229" s="49">
        <f>IF(A229="","",DATE(YEAR(A229),MONTH(A229),1))</f>
        <v/>
      </c>
    </row>
    <row r="230">
      <c r="A230" s="48" t="n"/>
      <c r="B230" s="44" t="n"/>
      <c r="C230" s="45" t="n"/>
      <c r="D230" s="44" t="n"/>
      <c r="E230" s="49">
        <f>IF(A230="","",DATE(YEAR(A230),MONTH(A230),1))</f>
        <v/>
      </c>
    </row>
    <row r="231">
      <c r="A231" s="48" t="n"/>
      <c r="B231" s="44" t="n"/>
      <c r="C231" s="45" t="n"/>
      <c r="D231" s="44" t="n"/>
      <c r="E231" s="49">
        <f>IF(A231="","",DATE(YEAR(A231),MONTH(A231),1))</f>
        <v/>
      </c>
    </row>
    <row r="232">
      <c r="A232" s="48" t="n"/>
      <c r="B232" s="44" t="n"/>
      <c r="C232" s="45" t="n"/>
      <c r="D232" s="44" t="n"/>
      <c r="E232" s="49">
        <f>IF(A232="","",DATE(YEAR(A232),MONTH(A232),1))</f>
        <v/>
      </c>
    </row>
    <row r="233">
      <c r="A233" s="48" t="n"/>
      <c r="B233" s="44" t="n"/>
      <c r="C233" s="45" t="n"/>
      <c r="D233" s="44" t="n"/>
      <c r="E233" s="49">
        <f>IF(A233="","",DATE(YEAR(A233),MONTH(A233),1))</f>
        <v/>
      </c>
    </row>
    <row r="234">
      <c r="A234" s="48" t="n"/>
      <c r="B234" s="44" t="n"/>
      <c r="C234" s="45" t="n"/>
      <c r="D234" s="44" t="n"/>
      <c r="E234" s="49">
        <f>IF(A234="","",DATE(YEAR(A234),MONTH(A234),1))</f>
        <v/>
      </c>
    </row>
    <row r="235">
      <c r="A235" s="48" t="n"/>
      <c r="B235" s="44" t="n"/>
      <c r="C235" s="45" t="n"/>
      <c r="D235" s="44" t="n"/>
      <c r="E235" s="49">
        <f>IF(A235="","",DATE(YEAR(A235),MONTH(A235),1))</f>
        <v/>
      </c>
    </row>
    <row r="236">
      <c r="A236" s="48" t="n"/>
      <c r="B236" s="44" t="n"/>
      <c r="C236" s="45" t="n"/>
      <c r="D236" s="44" t="n"/>
      <c r="E236" s="49">
        <f>IF(A236="","",DATE(YEAR(A236),MONTH(A236),1))</f>
        <v/>
      </c>
    </row>
    <row r="237">
      <c r="A237" s="48" t="n"/>
      <c r="B237" s="44" t="n"/>
      <c r="C237" s="45" t="n"/>
      <c r="D237" s="44" t="n"/>
      <c r="E237" s="49">
        <f>IF(A237="","",DATE(YEAR(A237),MONTH(A237),1))</f>
        <v/>
      </c>
    </row>
    <row r="238">
      <c r="A238" s="48" t="n"/>
      <c r="B238" s="44" t="n"/>
      <c r="C238" s="45" t="n"/>
      <c r="D238" s="44" t="n"/>
      <c r="E238" s="49">
        <f>IF(A238="","",DATE(YEAR(A238),MONTH(A238),1))</f>
        <v/>
      </c>
    </row>
    <row r="239">
      <c r="A239" s="48" t="n"/>
      <c r="B239" s="44" t="n"/>
      <c r="C239" s="45" t="n"/>
      <c r="D239" s="44" t="n"/>
      <c r="E239" s="49">
        <f>IF(A239="","",DATE(YEAR(A239),MONTH(A239),1))</f>
        <v/>
      </c>
    </row>
    <row r="240">
      <c r="A240" s="48" t="n"/>
      <c r="B240" s="44" t="n"/>
      <c r="C240" s="45" t="n"/>
      <c r="D240" s="44" t="n"/>
      <c r="E240" s="49">
        <f>IF(A240="","",DATE(YEAR(A240),MONTH(A240),1))</f>
        <v/>
      </c>
    </row>
    <row r="241">
      <c r="A241" s="48" t="n"/>
      <c r="B241" s="44" t="n"/>
      <c r="C241" s="45" t="n"/>
      <c r="D241" s="44" t="n"/>
      <c r="E241" s="49">
        <f>IF(A241="","",DATE(YEAR(A241),MONTH(A241),1))</f>
        <v/>
      </c>
    </row>
    <row r="242">
      <c r="A242" s="48" t="n"/>
      <c r="B242" s="44" t="n"/>
      <c r="C242" s="45" t="n"/>
      <c r="D242" s="44" t="n"/>
      <c r="E242" s="49">
        <f>IF(A242="","",DATE(YEAR(A242),MONTH(A242),1))</f>
        <v/>
      </c>
    </row>
    <row r="243">
      <c r="A243" s="48" t="n"/>
      <c r="B243" s="44" t="n"/>
      <c r="C243" s="45" t="n"/>
      <c r="D243" s="44" t="n"/>
      <c r="E243" s="49">
        <f>IF(A243="","",DATE(YEAR(A243),MONTH(A243),1))</f>
        <v/>
      </c>
    </row>
    <row r="244">
      <c r="A244" s="48" t="n"/>
      <c r="B244" s="44" t="n"/>
      <c r="C244" s="45" t="n"/>
      <c r="D244" s="44" t="n"/>
      <c r="E244" s="49">
        <f>IF(A244="","",DATE(YEAR(A244),MONTH(A244),1))</f>
        <v/>
      </c>
    </row>
    <row r="245">
      <c r="A245" s="48" t="n"/>
      <c r="B245" s="44" t="n"/>
      <c r="C245" s="45" t="n"/>
      <c r="D245" s="44" t="n"/>
      <c r="E245" s="49">
        <f>IF(A245="","",DATE(YEAR(A245),MONTH(A245),1))</f>
        <v/>
      </c>
    </row>
    <row r="246">
      <c r="A246" s="48" t="n"/>
      <c r="B246" s="44" t="n"/>
      <c r="C246" s="45" t="n"/>
      <c r="D246" s="44" t="n"/>
      <c r="E246" s="49">
        <f>IF(A246="","",DATE(YEAR(A246),MONTH(A246),1))</f>
        <v/>
      </c>
    </row>
    <row r="247">
      <c r="A247" s="48" t="n"/>
      <c r="B247" s="44" t="n"/>
      <c r="C247" s="45" t="n"/>
      <c r="D247" s="44" t="n"/>
      <c r="E247" s="49">
        <f>IF(A247="","",DATE(YEAR(A247),MONTH(A247),1))</f>
        <v/>
      </c>
    </row>
    <row r="248">
      <c r="A248" s="48" t="n"/>
      <c r="B248" s="44" t="n"/>
      <c r="C248" s="45" t="n"/>
      <c r="D248" s="44" t="n"/>
      <c r="E248" s="49">
        <f>IF(A248="","",DATE(YEAR(A248),MONTH(A248),1))</f>
        <v/>
      </c>
    </row>
    <row r="249">
      <c r="A249" s="48" t="n"/>
      <c r="B249" s="44" t="n"/>
      <c r="C249" s="45" t="n"/>
      <c r="D249" s="44" t="n"/>
      <c r="E249" s="49">
        <f>IF(A249="","",DATE(YEAR(A249),MONTH(A249),1))</f>
        <v/>
      </c>
    </row>
    <row r="250">
      <c r="A250" s="48" t="n"/>
      <c r="B250" s="44" t="n"/>
      <c r="C250" s="45" t="n"/>
      <c r="D250" s="44" t="n"/>
      <c r="E250" s="49">
        <f>IF(A250="","",DATE(YEAR(A250),MONTH(A250),1))</f>
        <v/>
      </c>
    </row>
    <row r="251">
      <c r="A251" s="48" t="n"/>
      <c r="B251" s="44" t="n"/>
      <c r="C251" s="45" t="n"/>
      <c r="D251" s="44" t="n"/>
      <c r="E251" s="49">
        <f>IF(A251="","",DATE(YEAR(A251),MONTH(A251),1))</f>
        <v/>
      </c>
    </row>
    <row r="252">
      <c r="A252" s="48" t="n"/>
      <c r="B252" s="44" t="n"/>
      <c r="C252" s="45" t="n"/>
      <c r="D252" s="44" t="n"/>
      <c r="E252" s="49">
        <f>IF(A252="","",DATE(YEAR(A252),MONTH(A252),1))</f>
        <v/>
      </c>
    </row>
    <row r="253">
      <c r="A253" s="48" t="n"/>
      <c r="B253" s="44" t="n"/>
      <c r="C253" s="45" t="n"/>
      <c r="D253" s="44" t="n"/>
      <c r="E253" s="49">
        <f>IF(A253="","",DATE(YEAR(A253),MONTH(A253),1))</f>
        <v/>
      </c>
    </row>
    <row r="254">
      <c r="A254" s="48" t="n"/>
      <c r="B254" s="44" t="n"/>
      <c r="C254" s="45" t="n"/>
      <c r="D254" s="44" t="n"/>
      <c r="E254" s="49">
        <f>IF(A254="","",DATE(YEAR(A254),MONTH(A254),1))</f>
        <v/>
      </c>
    </row>
    <row r="255">
      <c r="A255" s="48" t="n"/>
      <c r="B255" s="44" t="n"/>
      <c r="C255" s="45" t="n"/>
      <c r="D255" s="44" t="n"/>
      <c r="E255" s="49">
        <f>IF(A255="","",DATE(YEAR(A255),MONTH(A255),1))</f>
        <v/>
      </c>
    </row>
    <row r="256">
      <c r="A256" s="48" t="n"/>
      <c r="B256" s="44" t="n"/>
      <c r="C256" s="45" t="n"/>
      <c r="D256" s="44" t="n"/>
      <c r="E256" s="49">
        <f>IF(A256="","",DATE(YEAR(A256),MONTH(A256),1))</f>
        <v/>
      </c>
    </row>
    <row r="257">
      <c r="A257" s="48" t="n"/>
      <c r="B257" s="44" t="n"/>
      <c r="C257" s="45" t="n"/>
      <c r="D257" s="44" t="n"/>
      <c r="E257" s="49">
        <f>IF(A257="","",DATE(YEAR(A257),MONTH(A257),1))</f>
        <v/>
      </c>
    </row>
    <row r="258">
      <c r="A258" s="48" t="n"/>
      <c r="B258" s="44" t="n"/>
      <c r="C258" s="45" t="n"/>
      <c r="D258" s="44" t="n"/>
      <c r="E258" s="49">
        <f>IF(A258="","",DATE(YEAR(A258),MONTH(A258),1))</f>
        <v/>
      </c>
    </row>
    <row r="259">
      <c r="A259" s="48" t="n"/>
      <c r="B259" s="44" t="n"/>
      <c r="C259" s="45" t="n"/>
      <c r="D259" s="44" t="n"/>
      <c r="E259" s="49">
        <f>IF(A259="","",DATE(YEAR(A259),MONTH(A259),1))</f>
        <v/>
      </c>
    </row>
    <row r="260">
      <c r="A260" s="48" t="n"/>
      <c r="B260" s="44" t="n"/>
      <c r="C260" s="45" t="n"/>
      <c r="D260" s="44" t="n"/>
      <c r="E260" s="49">
        <f>IF(A260="","",DATE(YEAR(A260),MONTH(A260),1))</f>
        <v/>
      </c>
    </row>
    <row r="261">
      <c r="A261" s="48" t="n"/>
      <c r="B261" s="44" t="n"/>
      <c r="C261" s="45" t="n"/>
      <c r="D261" s="44" t="n"/>
      <c r="E261" s="49">
        <f>IF(A261="","",DATE(YEAR(A261),MONTH(A261),1))</f>
        <v/>
      </c>
    </row>
    <row r="262">
      <c r="A262" s="48" t="n"/>
      <c r="B262" s="44" t="n"/>
      <c r="C262" s="45" t="n"/>
      <c r="D262" s="44" t="n"/>
      <c r="E262" s="49">
        <f>IF(A262="","",DATE(YEAR(A262),MONTH(A262),1))</f>
        <v/>
      </c>
    </row>
    <row r="263">
      <c r="A263" s="48" t="n"/>
      <c r="B263" s="44" t="n"/>
      <c r="C263" s="45" t="n"/>
      <c r="D263" s="44" t="n"/>
      <c r="E263" s="49">
        <f>IF(A263="","",DATE(YEAR(A263),MONTH(A263),1))</f>
        <v/>
      </c>
    </row>
    <row r="264">
      <c r="A264" s="48" t="n"/>
      <c r="B264" s="44" t="n"/>
      <c r="C264" s="45" t="n"/>
      <c r="D264" s="44" t="n"/>
      <c r="E264" s="49">
        <f>IF(A264="","",DATE(YEAR(A264),MONTH(A264),1))</f>
        <v/>
      </c>
    </row>
    <row r="265">
      <c r="A265" s="48" t="n"/>
      <c r="B265" s="44" t="n"/>
      <c r="C265" s="45" t="n"/>
      <c r="D265" s="44" t="n"/>
      <c r="E265" s="49">
        <f>IF(A265="","",DATE(YEAR(A265),MONTH(A265),1))</f>
        <v/>
      </c>
    </row>
    <row r="266">
      <c r="A266" s="48" t="n"/>
      <c r="B266" s="44" t="n"/>
      <c r="C266" s="45" t="n"/>
      <c r="D266" s="44" t="n"/>
      <c r="E266" s="49">
        <f>IF(A266="","",DATE(YEAR(A266),MONTH(A266),1))</f>
        <v/>
      </c>
    </row>
    <row r="267">
      <c r="A267" s="48" t="n"/>
      <c r="B267" s="44" t="n"/>
      <c r="C267" s="45" t="n"/>
      <c r="D267" s="44" t="n"/>
      <c r="E267" s="49">
        <f>IF(A267="","",DATE(YEAR(A267),MONTH(A267),1))</f>
        <v/>
      </c>
    </row>
    <row r="268">
      <c r="A268" s="48" t="n"/>
      <c r="B268" s="44" t="n"/>
      <c r="C268" s="45" t="n"/>
      <c r="D268" s="44" t="n"/>
      <c r="E268" s="49">
        <f>IF(A268="","",DATE(YEAR(A268),MONTH(A268),1))</f>
        <v/>
      </c>
    </row>
    <row r="269">
      <c r="A269" s="48" t="n"/>
      <c r="B269" s="44" t="n"/>
      <c r="C269" s="45" t="n"/>
      <c r="D269" s="44" t="n"/>
      <c r="E269" s="49">
        <f>IF(A269="","",DATE(YEAR(A269),MONTH(A269),1))</f>
        <v/>
      </c>
    </row>
    <row r="270">
      <c r="A270" s="48" t="n"/>
      <c r="B270" s="44" t="n"/>
      <c r="C270" s="45" t="n"/>
      <c r="D270" s="44" t="n"/>
      <c r="E270" s="49">
        <f>IF(A270="","",DATE(YEAR(A270),MONTH(A270),1))</f>
        <v/>
      </c>
    </row>
    <row r="271">
      <c r="A271" s="48" t="n"/>
      <c r="B271" s="44" t="n"/>
      <c r="C271" s="45" t="n"/>
      <c r="D271" s="44" t="n"/>
      <c r="E271" s="49">
        <f>IF(A271="","",DATE(YEAR(A271),MONTH(A271),1))</f>
        <v/>
      </c>
    </row>
    <row r="272">
      <c r="A272" s="48" t="n"/>
      <c r="B272" s="44" t="n"/>
      <c r="C272" s="45" t="n"/>
      <c r="D272" s="44" t="n"/>
      <c r="E272" s="49">
        <f>IF(A272="","",DATE(YEAR(A272),MONTH(A272),1))</f>
        <v/>
      </c>
    </row>
    <row r="273">
      <c r="A273" s="48" t="n"/>
      <c r="B273" s="44" t="n"/>
      <c r="C273" s="45" t="n"/>
      <c r="D273" s="44" t="n"/>
      <c r="E273" s="49">
        <f>IF(A273="","",DATE(YEAR(A273),MONTH(A273),1))</f>
        <v/>
      </c>
    </row>
    <row r="274">
      <c r="A274" s="48" t="n"/>
      <c r="B274" s="44" t="n"/>
      <c r="C274" s="45" t="n"/>
      <c r="D274" s="44" t="n"/>
      <c r="E274" s="49">
        <f>IF(A274="","",DATE(YEAR(A274),MONTH(A274),1))</f>
        <v/>
      </c>
    </row>
    <row r="275">
      <c r="A275" s="48" t="n"/>
      <c r="B275" s="44" t="n"/>
      <c r="C275" s="45" t="n"/>
      <c r="D275" s="44" t="n"/>
      <c r="E275" s="49">
        <f>IF(A275="","",DATE(YEAR(A275),MONTH(A275),1))</f>
        <v/>
      </c>
    </row>
    <row r="276">
      <c r="A276" s="48" t="n"/>
      <c r="B276" s="44" t="n"/>
      <c r="C276" s="45" t="n"/>
      <c r="D276" s="44" t="n"/>
      <c r="E276" s="49">
        <f>IF(A276="","",DATE(YEAR(A276),MONTH(A276),1))</f>
        <v/>
      </c>
    </row>
    <row r="277">
      <c r="A277" s="48" t="n"/>
      <c r="B277" s="44" t="n"/>
      <c r="C277" s="45" t="n"/>
      <c r="D277" s="44" t="n"/>
      <c r="E277" s="49">
        <f>IF(A277="","",DATE(YEAR(A277),MONTH(A277),1))</f>
        <v/>
      </c>
    </row>
    <row r="278">
      <c r="A278" s="48" t="n"/>
      <c r="B278" s="44" t="n"/>
      <c r="C278" s="45" t="n"/>
      <c r="D278" s="44" t="n"/>
      <c r="E278" s="49">
        <f>IF(A278="","",DATE(YEAR(A278),MONTH(A278),1))</f>
        <v/>
      </c>
    </row>
    <row r="279">
      <c r="A279" s="48" t="n"/>
      <c r="B279" s="44" t="n"/>
      <c r="C279" s="45" t="n"/>
      <c r="D279" s="44" t="n"/>
      <c r="E279" s="49">
        <f>IF(A279="","",DATE(YEAR(A279),MONTH(A279),1))</f>
        <v/>
      </c>
    </row>
    <row r="280">
      <c r="A280" s="48" t="n"/>
      <c r="B280" s="44" t="n"/>
      <c r="C280" s="45" t="n"/>
      <c r="D280" s="44" t="n"/>
      <c r="E280" s="49">
        <f>IF(A280="","",DATE(YEAR(A280),MONTH(A280),1))</f>
        <v/>
      </c>
    </row>
    <row r="281">
      <c r="A281" s="48" t="n"/>
      <c r="B281" s="44" t="n"/>
      <c r="C281" s="45" t="n"/>
      <c r="D281" s="44" t="n"/>
      <c r="E281" s="49">
        <f>IF(A281="","",DATE(YEAR(A281),MONTH(A281),1))</f>
        <v/>
      </c>
    </row>
    <row r="282">
      <c r="A282" s="48" t="n"/>
      <c r="B282" s="44" t="n"/>
      <c r="C282" s="45" t="n"/>
      <c r="D282" s="44" t="n"/>
      <c r="E282" s="49">
        <f>IF(A282="","",DATE(YEAR(A282),MONTH(A282),1))</f>
        <v/>
      </c>
    </row>
    <row r="283">
      <c r="A283" s="48" t="n"/>
      <c r="B283" s="44" t="n"/>
      <c r="C283" s="45" t="n"/>
      <c r="D283" s="44" t="n"/>
      <c r="E283" s="49">
        <f>IF(A283="","",DATE(YEAR(A283),MONTH(A283),1))</f>
        <v/>
      </c>
    </row>
    <row r="284">
      <c r="A284" s="48" t="n"/>
      <c r="B284" s="44" t="n"/>
      <c r="C284" s="45" t="n"/>
      <c r="D284" s="44" t="n"/>
      <c r="E284" s="49">
        <f>IF(A284="","",DATE(YEAR(A284),MONTH(A284),1))</f>
        <v/>
      </c>
    </row>
    <row r="285">
      <c r="A285" s="48" t="n"/>
      <c r="B285" s="44" t="n"/>
      <c r="C285" s="45" t="n"/>
      <c r="D285" s="44" t="n"/>
      <c r="E285" s="49">
        <f>IF(A285="","",DATE(YEAR(A285),MONTH(A285),1))</f>
        <v/>
      </c>
    </row>
    <row r="286">
      <c r="A286" s="48" t="n"/>
      <c r="B286" s="44" t="n"/>
      <c r="C286" s="45" t="n"/>
      <c r="D286" s="44" t="n"/>
      <c r="E286" s="49">
        <f>IF(A286="","",DATE(YEAR(A286),MONTH(A286),1))</f>
        <v/>
      </c>
    </row>
    <row r="287">
      <c r="A287" s="48" t="n"/>
      <c r="B287" s="44" t="n"/>
      <c r="C287" s="45" t="n"/>
      <c r="D287" s="44" t="n"/>
      <c r="E287" s="49">
        <f>IF(A287="","",DATE(YEAR(A287),MONTH(A287),1))</f>
        <v/>
      </c>
    </row>
    <row r="288">
      <c r="A288" s="48" t="n"/>
      <c r="B288" s="44" t="n"/>
      <c r="C288" s="45" t="n"/>
      <c r="D288" s="44" t="n"/>
      <c r="E288" s="49">
        <f>IF(A288="","",DATE(YEAR(A288),MONTH(A288),1))</f>
        <v/>
      </c>
    </row>
    <row r="289">
      <c r="A289" s="48" t="n"/>
      <c r="B289" s="44" t="n"/>
      <c r="C289" s="45" t="n"/>
      <c r="D289" s="44" t="n"/>
      <c r="E289" s="49">
        <f>IF(A289="","",DATE(YEAR(A289),MONTH(A289),1))</f>
        <v/>
      </c>
    </row>
    <row r="290">
      <c r="A290" s="48" t="n"/>
      <c r="B290" s="44" t="n"/>
      <c r="C290" s="45" t="n"/>
      <c r="D290" s="44" t="n"/>
      <c r="E290" s="49">
        <f>IF(A290="","",DATE(YEAR(A290),MONTH(A290),1))</f>
        <v/>
      </c>
    </row>
    <row r="291">
      <c r="A291" s="48" t="n"/>
      <c r="B291" s="44" t="n"/>
      <c r="C291" s="45" t="n"/>
      <c r="D291" s="44" t="n"/>
      <c r="E291" s="49">
        <f>IF(A291="","",DATE(YEAR(A291),MONTH(A291),1))</f>
        <v/>
      </c>
    </row>
    <row r="292">
      <c r="A292" s="48" t="n"/>
      <c r="B292" s="44" t="n"/>
      <c r="C292" s="45" t="n"/>
      <c r="D292" s="44" t="n"/>
      <c r="E292" s="49">
        <f>IF(A292="","",DATE(YEAR(A292),MONTH(A292),1))</f>
        <v/>
      </c>
    </row>
    <row r="293">
      <c r="A293" s="48" t="n"/>
      <c r="B293" s="44" t="n"/>
      <c r="C293" s="45" t="n"/>
      <c r="D293" s="44" t="n"/>
      <c r="E293" s="49">
        <f>IF(A293="","",DATE(YEAR(A293),MONTH(A293),1))</f>
        <v/>
      </c>
    </row>
    <row r="294">
      <c r="A294" s="48" t="n"/>
      <c r="B294" s="44" t="n"/>
      <c r="C294" s="45" t="n"/>
      <c r="D294" s="44" t="n"/>
      <c r="E294" s="49">
        <f>IF(A294="","",DATE(YEAR(A294),MONTH(A294),1))</f>
        <v/>
      </c>
    </row>
    <row r="295">
      <c r="A295" s="48" t="n"/>
      <c r="B295" s="44" t="n"/>
      <c r="C295" s="45" t="n"/>
      <c r="D295" s="44" t="n"/>
      <c r="E295" s="49">
        <f>IF(A295="","",DATE(YEAR(A295),MONTH(A295),1))</f>
        <v/>
      </c>
    </row>
    <row r="296">
      <c r="A296" s="48" t="n"/>
      <c r="B296" s="44" t="n"/>
      <c r="C296" s="45" t="n"/>
      <c r="D296" s="44" t="n"/>
      <c r="E296" s="49">
        <f>IF(A296="","",DATE(YEAR(A296),MONTH(A296),1))</f>
        <v/>
      </c>
    </row>
    <row r="297">
      <c r="A297" s="48" t="n"/>
      <c r="B297" s="44" t="n"/>
      <c r="C297" s="45" t="n"/>
      <c r="D297" s="44" t="n"/>
      <c r="E297" s="49">
        <f>IF(A297="","",DATE(YEAR(A297),MONTH(A297),1))</f>
        <v/>
      </c>
    </row>
    <row r="298">
      <c r="A298" s="48" t="n"/>
      <c r="B298" s="44" t="n"/>
      <c r="C298" s="45" t="n"/>
      <c r="D298" s="44" t="n"/>
      <c r="E298" s="49">
        <f>IF(A298="","",DATE(YEAR(A298),MONTH(A298),1))</f>
        <v/>
      </c>
    </row>
    <row r="299">
      <c r="A299" s="48" t="n"/>
      <c r="B299" s="44" t="n"/>
      <c r="C299" s="45" t="n"/>
      <c r="D299" s="44" t="n"/>
      <c r="E299" s="49">
        <f>IF(A299="","",DATE(YEAR(A299),MONTH(A299),1))</f>
        <v/>
      </c>
    </row>
    <row r="300">
      <c r="A300" s="48" t="n"/>
      <c r="B300" s="44" t="n"/>
      <c r="C300" s="45" t="n"/>
      <c r="D300" s="44" t="n"/>
      <c r="E300" s="49">
        <f>IF(A300="","",DATE(YEAR(A300),MONTH(A300),1))</f>
        <v/>
      </c>
    </row>
    <row r="301">
      <c r="A301" s="48" t="n"/>
      <c r="B301" s="44" t="n"/>
      <c r="C301" s="45" t="n"/>
      <c r="D301" s="44" t="n"/>
      <c r="E301" s="49">
        <f>IF(A301="","",DATE(YEAR(A301),MONTH(A301),1))</f>
        <v/>
      </c>
    </row>
    <row r="302">
      <c r="A302" s="48" t="n"/>
      <c r="B302" s="44" t="n"/>
      <c r="C302" s="45" t="n"/>
      <c r="D302" s="44" t="n"/>
      <c r="E302" s="49">
        <f>IF(A302="","",DATE(YEAR(A302),MONTH(A302),1))</f>
        <v/>
      </c>
    </row>
    <row r="303">
      <c r="A303" s="48" t="n"/>
      <c r="B303" s="44" t="n"/>
      <c r="C303" s="45" t="n"/>
      <c r="D303" s="44" t="n"/>
      <c r="E303" s="49">
        <f>IF(A303="","",DATE(YEAR(A303),MONTH(A303),1))</f>
        <v/>
      </c>
    </row>
    <row r="304">
      <c r="A304" s="48" t="n"/>
      <c r="B304" s="44" t="n"/>
      <c r="C304" s="45" t="n"/>
      <c r="D304" s="44" t="n"/>
      <c r="E304" s="49">
        <f>IF(A304="","",DATE(YEAR(A304),MONTH(A304),1))</f>
        <v/>
      </c>
    </row>
  </sheetData>
  <autoFilter ref="A4:E304"/>
  <mergeCells count="2">
    <mergeCell ref="A2:E2"/>
    <mergeCell ref="A1:E1"/>
  </mergeCells>
  <dataValidations count="1">
    <dataValidation sqref="B5:B304" showDropDown="0" showInputMessage="0" showErrorMessage="0" allowBlank="1" errorTitle="Valor no válido" error="Elige una deuda registrada en la hoja Deudas." type="list">
      <formula1>Lista_Deudas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E3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15" customWidth="1" min="3" max="3"/>
    <col width="34" customWidth="1" min="4" max="4"/>
    <col width="13" customWidth="1" min="5" max="5"/>
  </cols>
  <sheetData>
    <row r="1" ht="34" customHeight="1">
      <c r="A1" s="1" t="inlineStr">
        <is>
          <t>AHORRO E INVERSIÓN · PÁGATE PRIMERO</t>
        </is>
      </c>
    </row>
    <row r="2">
      <c r="A2" s="2" t="inlineStr">
        <is>
          <t>'Una parte de todo lo que ganas es tuya para conservarla.' Registra aquí cada peso que pones a trabajar.</t>
        </is>
      </c>
    </row>
    <row r="4" ht="30" customHeight="1">
      <c r="A4" s="15" t="inlineStr">
        <is>
          <t>Fecha</t>
        </is>
      </c>
      <c r="B4" s="15" t="inlineStr">
        <is>
          <t>Destino</t>
        </is>
      </c>
      <c r="C4" s="15" t="inlineStr">
        <is>
          <t>Monto</t>
        </is>
      </c>
      <c r="D4" s="15" t="inlineStr">
        <is>
          <t>Nota</t>
        </is>
      </c>
      <c r="E4" s="15" t="inlineStr">
        <is>
          <t>Mes</t>
        </is>
      </c>
    </row>
    <row r="5">
      <c r="A5" s="48" t="n">
        <v>46266</v>
      </c>
      <c r="B5" s="44" t="inlineStr">
        <is>
          <t>Fondo de emergencia</t>
        </is>
      </c>
      <c r="C5" s="45" t="n">
        <v>1500</v>
      </c>
      <c r="D5" s="44" t="inlineStr">
        <is>
          <t>10% de la quincena</t>
        </is>
      </c>
      <c r="E5" s="49">
        <f>IF(A5="","",DATE(YEAR(A5),MONTH(A5),1))</f>
        <v/>
      </c>
    </row>
    <row r="6">
      <c r="A6" s="48" t="n">
        <v>46280</v>
      </c>
      <c r="B6" s="44" t="inlineStr">
        <is>
          <t>Inversión (bolsa, CETES, fondos)</t>
        </is>
      </c>
      <c r="C6" s="45" t="n">
        <v>1000</v>
      </c>
      <c r="D6" s="44" t="inlineStr">
        <is>
          <t>CETES 28 días</t>
        </is>
      </c>
      <c r="E6" s="49">
        <f>IF(A6="","",DATE(YEAR(A6),MONTH(A6),1))</f>
        <v/>
      </c>
    </row>
    <row r="7">
      <c r="A7" s="48" t="n">
        <v>46285</v>
      </c>
      <c r="B7" s="44" t="inlineStr">
        <is>
          <t>Educación financiera</t>
        </is>
      </c>
      <c r="C7" s="45" t="n">
        <v>250</v>
      </c>
      <c r="D7" s="44" t="inlineStr">
        <is>
          <t>Libro / curso</t>
        </is>
      </c>
      <c r="E7" s="49">
        <f>IF(A7="","",DATE(YEAR(A7),MONTH(A7),1))</f>
        <v/>
      </c>
    </row>
    <row r="8">
      <c r="A8" s="48" t="n"/>
      <c r="B8" s="44" t="n"/>
      <c r="C8" s="45" t="n"/>
      <c r="D8" s="44" t="n"/>
      <c r="E8" s="49">
        <f>IF(A8="","",DATE(YEAR(A8),MONTH(A8),1))</f>
        <v/>
      </c>
    </row>
    <row r="9">
      <c r="A9" s="48" t="n"/>
      <c r="B9" s="44" t="n"/>
      <c r="C9" s="45" t="n"/>
      <c r="D9" s="44" t="n"/>
      <c r="E9" s="49">
        <f>IF(A9="","",DATE(YEAR(A9),MONTH(A9),1))</f>
        <v/>
      </c>
    </row>
    <row r="10">
      <c r="A10" s="48" t="n"/>
      <c r="B10" s="44" t="n"/>
      <c r="C10" s="45" t="n"/>
      <c r="D10" s="44" t="n"/>
      <c r="E10" s="49">
        <f>IF(A10="","",DATE(YEAR(A10),MONTH(A10),1))</f>
        <v/>
      </c>
    </row>
    <row r="11">
      <c r="A11" s="48" t="n"/>
      <c r="B11" s="44" t="n"/>
      <c r="C11" s="45" t="n"/>
      <c r="D11" s="44" t="n"/>
      <c r="E11" s="49">
        <f>IF(A11="","",DATE(YEAR(A11),MONTH(A11),1))</f>
        <v/>
      </c>
    </row>
    <row r="12">
      <c r="A12" s="48" t="n"/>
      <c r="B12" s="44" t="n"/>
      <c r="C12" s="45" t="n"/>
      <c r="D12" s="44" t="n"/>
      <c r="E12" s="49">
        <f>IF(A12="","",DATE(YEAR(A12),MONTH(A12),1))</f>
        <v/>
      </c>
    </row>
    <row r="13">
      <c r="A13" s="48" t="n"/>
      <c r="B13" s="44" t="n"/>
      <c r="C13" s="45" t="n"/>
      <c r="D13" s="44" t="n"/>
      <c r="E13" s="49">
        <f>IF(A13="","",DATE(YEAR(A13),MONTH(A13),1))</f>
        <v/>
      </c>
    </row>
    <row r="14">
      <c r="A14" s="48" t="n"/>
      <c r="B14" s="44" t="n"/>
      <c r="C14" s="45" t="n"/>
      <c r="D14" s="44" t="n"/>
      <c r="E14" s="49">
        <f>IF(A14="","",DATE(YEAR(A14),MONTH(A14),1))</f>
        <v/>
      </c>
    </row>
    <row r="15">
      <c r="A15" s="48" t="n"/>
      <c r="B15" s="44" t="n"/>
      <c r="C15" s="45" t="n"/>
      <c r="D15" s="44" t="n"/>
      <c r="E15" s="49">
        <f>IF(A15="","",DATE(YEAR(A15),MONTH(A15),1))</f>
        <v/>
      </c>
    </row>
    <row r="16">
      <c r="A16" s="48" t="n"/>
      <c r="B16" s="44" t="n"/>
      <c r="C16" s="45" t="n"/>
      <c r="D16" s="44" t="n"/>
      <c r="E16" s="49">
        <f>IF(A16="","",DATE(YEAR(A16),MONTH(A16),1))</f>
        <v/>
      </c>
    </row>
    <row r="17">
      <c r="A17" s="48" t="n"/>
      <c r="B17" s="44" t="n"/>
      <c r="C17" s="45" t="n"/>
      <c r="D17" s="44" t="n"/>
      <c r="E17" s="49">
        <f>IF(A17="","",DATE(YEAR(A17),MONTH(A17),1))</f>
        <v/>
      </c>
    </row>
    <row r="18">
      <c r="A18" s="48" t="n"/>
      <c r="B18" s="44" t="n"/>
      <c r="C18" s="45" t="n"/>
      <c r="D18" s="44" t="n"/>
      <c r="E18" s="49">
        <f>IF(A18="","",DATE(YEAR(A18),MONTH(A18),1))</f>
        <v/>
      </c>
    </row>
    <row r="19">
      <c r="A19" s="48" t="n"/>
      <c r="B19" s="44" t="n"/>
      <c r="C19" s="45" t="n"/>
      <c r="D19" s="44" t="n"/>
      <c r="E19" s="49">
        <f>IF(A19="","",DATE(YEAR(A19),MONTH(A19),1))</f>
        <v/>
      </c>
    </row>
    <row r="20">
      <c r="A20" s="48" t="n"/>
      <c r="B20" s="44" t="n"/>
      <c r="C20" s="45" t="n"/>
      <c r="D20" s="44" t="n"/>
      <c r="E20" s="49">
        <f>IF(A20="","",DATE(YEAR(A20),MONTH(A20),1))</f>
        <v/>
      </c>
    </row>
    <row r="21">
      <c r="A21" s="48" t="n"/>
      <c r="B21" s="44" t="n"/>
      <c r="C21" s="45" t="n"/>
      <c r="D21" s="44" t="n"/>
      <c r="E21" s="49">
        <f>IF(A21="","",DATE(YEAR(A21),MONTH(A21),1))</f>
        <v/>
      </c>
    </row>
    <row r="22">
      <c r="A22" s="48" t="n"/>
      <c r="B22" s="44" t="n"/>
      <c r="C22" s="45" t="n"/>
      <c r="D22" s="44" t="n"/>
      <c r="E22" s="49">
        <f>IF(A22="","",DATE(YEAR(A22),MONTH(A22),1))</f>
        <v/>
      </c>
    </row>
    <row r="23">
      <c r="A23" s="48" t="n"/>
      <c r="B23" s="44" t="n"/>
      <c r="C23" s="45" t="n"/>
      <c r="D23" s="44" t="n"/>
      <c r="E23" s="49">
        <f>IF(A23="","",DATE(YEAR(A23),MONTH(A23),1))</f>
        <v/>
      </c>
    </row>
    <row r="24">
      <c r="A24" s="48" t="n"/>
      <c r="B24" s="44" t="n"/>
      <c r="C24" s="45" t="n"/>
      <c r="D24" s="44" t="n"/>
      <c r="E24" s="49">
        <f>IF(A24="","",DATE(YEAR(A24),MONTH(A24),1))</f>
        <v/>
      </c>
    </row>
    <row r="25">
      <c r="A25" s="48" t="n"/>
      <c r="B25" s="44" t="n"/>
      <c r="C25" s="45" t="n"/>
      <c r="D25" s="44" t="n"/>
      <c r="E25" s="49">
        <f>IF(A25="","",DATE(YEAR(A25),MONTH(A25),1))</f>
        <v/>
      </c>
    </row>
    <row r="26">
      <c r="A26" s="48" t="n"/>
      <c r="B26" s="44" t="n"/>
      <c r="C26" s="45" t="n"/>
      <c r="D26" s="44" t="n"/>
      <c r="E26" s="49">
        <f>IF(A26="","",DATE(YEAR(A26),MONTH(A26),1))</f>
        <v/>
      </c>
    </row>
    <row r="27">
      <c r="A27" s="48" t="n"/>
      <c r="B27" s="44" t="n"/>
      <c r="C27" s="45" t="n"/>
      <c r="D27" s="44" t="n"/>
      <c r="E27" s="49">
        <f>IF(A27="","",DATE(YEAR(A27),MONTH(A27),1))</f>
        <v/>
      </c>
    </row>
    <row r="28">
      <c r="A28" s="48" t="n"/>
      <c r="B28" s="44" t="n"/>
      <c r="C28" s="45" t="n"/>
      <c r="D28" s="44" t="n"/>
      <c r="E28" s="49">
        <f>IF(A28="","",DATE(YEAR(A28),MONTH(A28),1))</f>
        <v/>
      </c>
    </row>
    <row r="29">
      <c r="A29" s="48" t="n"/>
      <c r="B29" s="44" t="n"/>
      <c r="C29" s="45" t="n"/>
      <c r="D29" s="44" t="n"/>
      <c r="E29" s="49">
        <f>IF(A29="","",DATE(YEAR(A29),MONTH(A29),1))</f>
        <v/>
      </c>
    </row>
    <row r="30">
      <c r="A30" s="48" t="n"/>
      <c r="B30" s="44" t="n"/>
      <c r="C30" s="45" t="n"/>
      <c r="D30" s="44" t="n"/>
      <c r="E30" s="49">
        <f>IF(A30="","",DATE(YEAR(A30),MONTH(A30),1))</f>
        <v/>
      </c>
    </row>
    <row r="31">
      <c r="A31" s="48" t="n"/>
      <c r="B31" s="44" t="n"/>
      <c r="C31" s="45" t="n"/>
      <c r="D31" s="44" t="n"/>
      <c r="E31" s="49">
        <f>IF(A31="","",DATE(YEAR(A31),MONTH(A31),1))</f>
        <v/>
      </c>
    </row>
    <row r="32">
      <c r="A32" s="48" t="n"/>
      <c r="B32" s="44" t="n"/>
      <c r="C32" s="45" t="n"/>
      <c r="D32" s="44" t="n"/>
      <c r="E32" s="49">
        <f>IF(A32="","",DATE(YEAR(A32),MONTH(A32),1))</f>
        <v/>
      </c>
    </row>
    <row r="33">
      <c r="A33" s="48" t="n"/>
      <c r="B33" s="44" t="n"/>
      <c r="C33" s="45" t="n"/>
      <c r="D33" s="44" t="n"/>
      <c r="E33" s="49">
        <f>IF(A33="","",DATE(YEAR(A33),MONTH(A33),1))</f>
        <v/>
      </c>
    </row>
    <row r="34">
      <c r="A34" s="48" t="n"/>
      <c r="B34" s="44" t="n"/>
      <c r="C34" s="45" t="n"/>
      <c r="D34" s="44" t="n"/>
      <c r="E34" s="49">
        <f>IF(A34="","",DATE(YEAR(A34),MONTH(A34),1))</f>
        <v/>
      </c>
    </row>
    <row r="35">
      <c r="A35" s="48" t="n"/>
      <c r="B35" s="44" t="n"/>
      <c r="C35" s="45" t="n"/>
      <c r="D35" s="44" t="n"/>
      <c r="E35" s="49">
        <f>IF(A35="","",DATE(YEAR(A35),MONTH(A35),1))</f>
        <v/>
      </c>
    </row>
    <row r="36">
      <c r="A36" s="48" t="n"/>
      <c r="B36" s="44" t="n"/>
      <c r="C36" s="45" t="n"/>
      <c r="D36" s="44" t="n"/>
      <c r="E36" s="49">
        <f>IF(A36="","",DATE(YEAR(A36),MONTH(A36),1))</f>
        <v/>
      </c>
    </row>
    <row r="37">
      <c r="A37" s="48" t="n"/>
      <c r="B37" s="44" t="n"/>
      <c r="C37" s="45" t="n"/>
      <c r="D37" s="44" t="n"/>
      <c r="E37" s="49">
        <f>IF(A37="","",DATE(YEAR(A37),MONTH(A37),1))</f>
        <v/>
      </c>
    </row>
    <row r="38">
      <c r="A38" s="48" t="n"/>
      <c r="B38" s="44" t="n"/>
      <c r="C38" s="45" t="n"/>
      <c r="D38" s="44" t="n"/>
      <c r="E38" s="49">
        <f>IF(A38="","",DATE(YEAR(A38),MONTH(A38),1))</f>
        <v/>
      </c>
    </row>
    <row r="39">
      <c r="A39" s="48" t="n"/>
      <c r="B39" s="44" t="n"/>
      <c r="C39" s="45" t="n"/>
      <c r="D39" s="44" t="n"/>
      <c r="E39" s="49">
        <f>IF(A39="","",DATE(YEAR(A39),MONTH(A39),1))</f>
        <v/>
      </c>
    </row>
    <row r="40">
      <c r="A40" s="48" t="n"/>
      <c r="B40" s="44" t="n"/>
      <c r="C40" s="45" t="n"/>
      <c r="D40" s="44" t="n"/>
      <c r="E40" s="49">
        <f>IF(A40="","",DATE(YEAR(A40),MONTH(A40),1))</f>
        <v/>
      </c>
    </row>
    <row r="41">
      <c r="A41" s="48" t="n"/>
      <c r="B41" s="44" t="n"/>
      <c r="C41" s="45" t="n"/>
      <c r="D41" s="44" t="n"/>
      <c r="E41" s="49">
        <f>IF(A41="","",DATE(YEAR(A41),MONTH(A41),1))</f>
        <v/>
      </c>
    </row>
    <row r="42">
      <c r="A42" s="48" t="n"/>
      <c r="B42" s="44" t="n"/>
      <c r="C42" s="45" t="n"/>
      <c r="D42" s="44" t="n"/>
      <c r="E42" s="49">
        <f>IF(A42="","",DATE(YEAR(A42),MONTH(A42),1))</f>
        <v/>
      </c>
    </row>
    <row r="43">
      <c r="A43" s="48" t="n"/>
      <c r="B43" s="44" t="n"/>
      <c r="C43" s="45" t="n"/>
      <c r="D43" s="44" t="n"/>
      <c r="E43" s="49">
        <f>IF(A43="","",DATE(YEAR(A43),MONTH(A43),1))</f>
        <v/>
      </c>
    </row>
    <row r="44">
      <c r="A44" s="48" t="n"/>
      <c r="B44" s="44" t="n"/>
      <c r="C44" s="45" t="n"/>
      <c r="D44" s="44" t="n"/>
      <c r="E44" s="49">
        <f>IF(A44="","",DATE(YEAR(A44),MONTH(A44),1))</f>
        <v/>
      </c>
    </row>
    <row r="45">
      <c r="A45" s="48" t="n"/>
      <c r="B45" s="44" t="n"/>
      <c r="C45" s="45" t="n"/>
      <c r="D45" s="44" t="n"/>
      <c r="E45" s="49">
        <f>IF(A45="","",DATE(YEAR(A45),MONTH(A45),1))</f>
        <v/>
      </c>
    </row>
    <row r="46">
      <c r="A46" s="48" t="n"/>
      <c r="B46" s="44" t="n"/>
      <c r="C46" s="45" t="n"/>
      <c r="D46" s="44" t="n"/>
      <c r="E46" s="49">
        <f>IF(A46="","",DATE(YEAR(A46),MONTH(A46),1))</f>
        <v/>
      </c>
    </row>
    <row r="47">
      <c r="A47" s="48" t="n"/>
      <c r="B47" s="44" t="n"/>
      <c r="C47" s="45" t="n"/>
      <c r="D47" s="44" t="n"/>
      <c r="E47" s="49">
        <f>IF(A47="","",DATE(YEAR(A47),MONTH(A47),1))</f>
        <v/>
      </c>
    </row>
    <row r="48">
      <c r="A48" s="48" t="n"/>
      <c r="B48" s="44" t="n"/>
      <c r="C48" s="45" t="n"/>
      <c r="D48" s="44" t="n"/>
      <c r="E48" s="49">
        <f>IF(A48="","",DATE(YEAR(A48),MONTH(A48),1))</f>
        <v/>
      </c>
    </row>
    <row r="49">
      <c r="A49" s="48" t="n"/>
      <c r="B49" s="44" t="n"/>
      <c r="C49" s="45" t="n"/>
      <c r="D49" s="44" t="n"/>
      <c r="E49" s="49">
        <f>IF(A49="","",DATE(YEAR(A49),MONTH(A49),1))</f>
        <v/>
      </c>
    </row>
    <row r="50">
      <c r="A50" s="48" t="n"/>
      <c r="B50" s="44" t="n"/>
      <c r="C50" s="45" t="n"/>
      <c r="D50" s="44" t="n"/>
      <c r="E50" s="49">
        <f>IF(A50="","",DATE(YEAR(A50),MONTH(A50),1))</f>
        <v/>
      </c>
    </row>
    <row r="51">
      <c r="A51" s="48" t="n"/>
      <c r="B51" s="44" t="n"/>
      <c r="C51" s="45" t="n"/>
      <c r="D51" s="44" t="n"/>
      <c r="E51" s="49">
        <f>IF(A51="","",DATE(YEAR(A51),MONTH(A51),1))</f>
        <v/>
      </c>
    </row>
    <row r="52">
      <c r="A52" s="48" t="n"/>
      <c r="B52" s="44" t="n"/>
      <c r="C52" s="45" t="n"/>
      <c r="D52" s="44" t="n"/>
      <c r="E52" s="49">
        <f>IF(A52="","",DATE(YEAR(A52),MONTH(A52),1))</f>
        <v/>
      </c>
    </row>
    <row r="53">
      <c r="A53" s="48" t="n"/>
      <c r="B53" s="44" t="n"/>
      <c r="C53" s="45" t="n"/>
      <c r="D53" s="44" t="n"/>
      <c r="E53" s="49">
        <f>IF(A53="","",DATE(YEAR(A53),MONTH(A53),1))</f>
        <v/>
      </c>
    </row>
    <row r="54">
      <c r="A54" s="48" t="n"/>
      <c r="B54" s="44" t="n"/>
      <c r="C54" s="45" t="n"/>
      <c r="D54" s="44" t="n"/>
      <c r="E54" s="49">
        <f>IF(A54="","",DATE(YEAR(A54),MONTH(A54),1))</f>
        <v/>
      </c>
    </row>
    <row r="55">
      <c r="A55" s="48" t="n"/>
      <c r="B55" s="44" t="n"/>
      <c r="C55" s="45" t="n"/>
      <c r="D55" s="44" t="n"/>
      <c r="E55" s="49">
        <f>IF(A55="","",DATE(YEAR(A55),MONTH(A55),1))</f>
        <v/>
      </c>
    </row>
    <row r="56">
      <c r="A56" s="48" t="n"/>
      <c r="B56" s="44" t="n"/>
      <c r="C56" s="45" t="n"/>
      <c r="D56" s="44" t="n"/>
      <c r="E56" s="49">
        <f>IF(A56="","",DATE(YEAR(A56),MONTH(A56),1))</f>
        <v/>
      </c>
    </row>
    <row r="57">
      <c r="A57" s="48" t="n"/>
      <c r="B57" s="44" t="n"/>
      <c r="C57" s="45" t="n"/>
      <c r="D57" s="44" t="n"/>
      <c r="E57" s="49">
        <f>IF(A57="","",DATE(YEAR(A57),MONTH(A57),1))</f>
        <v/>
      </c>
    </row>
    <row r="58">
      <c r="A58" s="48" t="n"/>
      <c r="B58" s="44" t="n"/>
      <c r="C58" s="45" t="n"/>
      <c r="D58" s="44" t="n"/>
      <c r="E58" s="49">
        <f>IF(A58="","",DATE(YEAR(A58),MONTH(A58),1))</f>
        <v/>
      </c>
    </row>
    <row r="59">
      <c r="A59" s="48" t="n"/>
      <c r="B59" s="44" t="n"/>
      <c r="C59" s="45" t="n"/>
      <c r="D59" s="44" t="n"/>
      <c r="E59" s="49">
        <f>IF(A59="","",DATE(YEAR(A59),MONTH(A59),1))</f>
        <v/>
      </c>
    </row>
    <row r="60">
      <c r="A60" s="48" t="n"/>
      <c r="B60" s="44" t="n"/>
      <c r="C60" s="45" t="n"/>
      <c r="D60" s="44" t="n"/>
      <c r="E60" s="49">
        <f>IF(A60="","",DATE(YEAR(A60),MONTH(A60),1))</f>
        <v/>
      </c>
    </row>
    <row r="61">
      <c r="A61" s="48" t="n"/>
      <c r="B61" s="44" t="n"/>
      <c r="C61" s="45" t="n"/>
      <c r="D61" s="44" t="n"/>
      <c r="E61" s="49">
        <f>IF(A61="","",DATE(YEAR(A61),MONTH(A61),1))</f>
        <v/>
      </c>
    </row>
    <row r="62">
      <c r="A62" s="48" t="n"/>
      <c r="B62" s="44" t="n"/>
      <c r="C62" s="45" t="n"/>
      <c r="D62" s="44" t="n"/>
      <c r="E62" s="49">
        <f>IF(A62="","",DATE(YEAR(A62),MONTH(A62),1))</f>
        <v/>
      </c>
    </row>
    <row r="63">
      <c r="A63" s="48" t="n"/>
      <c r="B63" s="44" t="n"/>
      <c r="C63" s="45" t="n"/>
      <c r="D63" s="44" t="n"/>
      <c r="E63" s="49">
        <f>IF(A63="","",DATE(YEAR(A63),MONTH(A63),1))</f>
        <v/>
      </c>
    </row>
    <row r="64">
      <c r="A64" s="48" t="n"/>
      <c r="B64" s="44" t="n"/>
      <c r="C64" s="45" t="n"/>
      <c r="D64" s="44" t="n"/>
      <c r="E64" s="49">
        <f>IF(A64="","",DATE(YEAR(A64),MONTH(A64),1))</f>
        <v/>
      </c>
    </row>
    <row r="65">
      <c r="A65" s="48" t="n"/>
      <c r="B65" s="44" t="n"/>
      <c r="C65" s="45" t="n"/>
      <c r="D65" s="44" t="n"/>
      <c r="E65" s="49">
        <f>IF(A65="","",DATE(YEAR(A65),MONTH(A65),1))</f>
        <v/>
      </c>
    </row>
    <row r="66">
      <c r="A66" s="48" t="n"/>
      <c r="B66" s="44" t="n"/>
      <c r="C66" s="45" t="n"/>
      <c r="D66" s="44" t="n"/>
      <c r="E66" s="49">
        <f>IF(A66="","",DATE(YEAR(A66),MONTH(A66),1))</f>
        <v/>
      </c>
    </row>
    <row r="67">
      <c r="A67" s="48" t="n"/>
      <c r="B67" s="44" t="n"/>
      <c r="C67" s="45" t="n"/>
      <c r="D67" s="44" t="n"/>
      <c r="E67" s="49">
        <f>IF(A67="","",DATE(YEAR(A67),MONTH(A67),1))</f>
        <v/>
      </c>
    </row>
    <row r="68">
      <c r="A68" s="48" t="n"/>
      <c r="B68" s="44" t="n"/>
      <c r="C68" s="45" t="n"/>
      <c r="D68" s="44" t="n"/>
      <c r="E68" s="49">
        <f>IF(A68="","",DATE(YEAR(A68),MONTH(A68),1))</f>
        <v/>
      </c>
    </row>
    <row r="69">
      <c r="A69" s="48" t="n"/>
      <c r="B69" s="44" t="n"/>
      <c r="C69" s="45" t="n"/>
      <c r="D69" s="44" t="n"/>
      <c r="E69" s="49">
        <f>IF(A69="","",DATE(YEAR(A69),MONTH(A69),1))</f>
        <v/>
      </c>
    </row>
    <row r="70">
      <c r="A70" s="48" t="n"/>
      <c r="B70" s="44" t="n"/>
      <c r="C70" s="45" t="n"/>
      <c r="D70" s="44" t="n"/>
      <c r="E70" s="49">
        <f>IF(A70="","",DATE(YEAR(A70),MONTH(A70),1))</f>
        <v/>
      </c>
    </row>
    <row r="71">
      <c r="A71" s="48" t="n"/>
      <c r="B71" s="44" t="n"/>
      <c r="C71" s="45" t="n"/>
      <c r="D71" s="44" t="n"/>
      <c r="E71" s="49">
        <f>IF(A71="","",DATE(YEAR(A71),MONTH(A71),1))</f>
        <v/>
      </c>
    </row>
    <row r="72">
      <c r="A72" s="48" t="n"/>
      <c r="B72" s="44" t="n"/>
      <c r="C72" s="45" t="n"/>
      <c r="D72" s="44" t="n"/>
      <c r="E72" s="49">
        <f>IF(A72="","",DATE(YEAR(A72),MONTH(A72),1))</f>
        <v/>
      </c>
    </row>
    <row r="73">
      <c r="A73" s="48" t="n"/>
      <c r="B73" s="44" t="n"/>
      <c r="C73" s="45" t="n"/>
      <c r="D73" s="44" t="n"/>
      <c r="E73" s="49">
        <f>IF(A73="","",DATE(YEAR(A73),MONTH(A73),1))</f>
        <v/>
      </c>
    </row>
    <row r="74">
      <c r="A74" s="48" t="n"/>
      <c r="B74" s="44" t="n"/>
      <c r="C74" s="45" t="n"/>
      <c r="D74" s="44" t="n"/>
      <c r="E74" s="49">
        <f>IF(A74="","",DATE(YEAR(A74),MONTH(A74),1))</f>
        <v/>
      </c>
    </row>
    <row r="75">
      <c r="A75" s="48" t="n"/>
      <c r="B75" s="44" t="n"/>
      <c r="C75" s="45" t="n"/>
      <c r="D75" s="44" t="n"/>
      <c r="E75" s="49">
        <f>IF(A75="","",DATE(YEAR(A75),MONTH(A75),1))</f>
        <v/>
      </c>
    </row>
    <row r="76">
      <c r="A76" s="48" t="n"/>
      <c r="B76" s="44" t="n"/>
      <c r="C76" s="45" t="n"/>
      <c r="D76" s="44" t="n"/>
      <c r="E76" s="49">
        <f>IF(A76="","",DATE(YEAR(A76),MONTH(A76),1))</f>
        <v/>
      </c>
    </row>
    <row r="77">
      <c r="A77" s="48" t="n"/>
      <c r="B77" s="44" t="n"/>
      <c r="C77" s="45" t="n"/>
      <c r="D77" s="44" t="n"/>
      <c r="E77" s="49">
        <f>IF(A77="","",DATE(YEAR(A77),MONTH(A77),1))</f>
        <v/>
      </c>
    </row>
    <row r="78">
      <c r="A78" s="48" t="n"/>
      <c r="B78" s="44" t="n"/>
      <c r="C78" s="45" t="n"/>
      <c r="D78" s="44" t="n"/>
      <c r="E78" s="49">
        <f>IF(A78="","",DATE(YEAR(A78),MONTH(A78),1))</f>
        <v/>
      </c>
    </row>
    <row r="79">
      <c r="A79" s="48" t="n"/>
      <c r="B79" s="44" t="n"/>
      <c r="C79" s="45" t="n"/>
      <c r="D79" s="44" t="n"/>
      <c r="E79" s="49">
        <f>IF(A79="","",DATE(YEAR(A79),MONTH(A79),1))</f>
        <v/>
      </c>
    </row>
    <row r="80">
      <c r="A80" s="48" t="n"/>
      <c r="B80" s="44" t="n"/>
      <c r="C80" s="45" t="n"/>
      <c r="D80" s="44" t="n"/>
      <c r="E80" s="49">
        <f>IF(A80="","",DATE(YEAR(A80),MONTH(A80),1))</f>
        <v/>
      </c>
    </row>
    <row r="81">
      <c r="A81" s="48" t="n"/>
      <c r="B81" s="44" t="n"/>
      <c r="C81" s="45" t="n"/>
      <c r="D81" s="44" t="n"/>
      <c r="E81" s="49">
        <f>IF(A81="","",DATE(YEAR(A81),MONTH(A81),1))</f>
        <v/>
      </c>
    </row>
    <row r="82">
      <c r="A82" s="48" t="n"/>
      <c r="B82" s="44" t="n"/>
      <c r="C82" s="45" t="n"/>
      <c r="D82" s="44" t="n"/>
      <c r="E82" s="49">
        <f>IF(A82="","",DATE(YEAR(A82),MONTH(A82),1))</f>
        <v/>
      </c>
    </row>
    <row r="83">
      <c r="A83" s="48" t="n"/>
      <c r="B83" s="44" t="n"/>
      <c r="C83" s="45" t="n"/>
      <c r="D83" s="44" t="n"/>
      <c r="E83" s="49">
        <f>IF(A83="","",DATE(YEAR(A83),MONTH(A83),1))</f>
        <v/>
      </c>
    </row>
    <row r="84">
      <c r="A84" s="48" t="n"/>
      <c r="B84" s="44" t="n"/>
      <c r="C84" s="45" t="n"/>
      <c r="D84" s="44" t="n"/>
      <c r="E84" s="49">
        <f>IF(A84="","",DATE(YEAR(A84),MONTH(A84),1))</f>
        <v/>
      </c>
    </row>
    <row r="85">
      <c r="A85" s="48" t="n"/>
      <c r="B85" s="44" t="n"/>
      <c r="C85" s="45" t="n"/>
      <c r="D85" s="44" t="n"/>
      <c r="E85" s="49">
        <f>IF(A85="","",DATE(YEAR(A85),MONTH(A85),1))</f>
        <v/>
      </c>
    </row>
    <row r="86">
      <c r="A86" s="48" t="n"/>
      <c r="B86" s="44" t="n"/>
      <c r="C86" s="45" t="n"/>
      <c r="D86" s="44" t="n"/>
      <c r="E86" s="49">
        <f>IF(A86="","",DATE(YEAR(A86),MONTH(A86),1))</f>
        <v/>
      </c>
    </row>
    <row r="87">
      <c r="A87" s="48" t="n"/>
      <c r="B87" s="44" t="n"/>
      <c r="C87" s="45" t="n"/>
      <c r="D87" s="44" t="n"/>
      <c r="E87" s="49">
        <f>IF(A87="","",DATE(YEAR(A87),MONTH(A87),1))</f>
        <v/>
      </c>
    </row>
    <row r="88">
      <c r="A88" s="48" t="n"/>
      <c r="B88" s="44" t="n"/>
      <c r="C88" s="45" t="n"/>
      <c r="D88" s="44" t="n"/>
      <c r="E88" s="49">
        <f>IF(A88="","",DATE(YEAR(A88),MONTH(A88),1))</f>
        <v/>
      </c>
    </row>
    <row r="89">
      <c r="A89" s="48" t="n"/>
      <c r="B89" s="44" t="n"/>
      <c r="C89" s="45" t="n"/>
      <c r="D89" s="44" t="n"/>
      <c r="E89" s="49">
        <f>IF(A89="","",DATE(YEAR(A89),MONTH(A89),1))</f>
        <v/>
      </c>
    </row>
    <row r="90">
      <c r="A90" s="48" t="n"/>
      <c r="B90" s="44" t="n"/>
      <c r="C90" s="45" t="n"/>
      <c r="D90" s="44" t="n"/>
      <c r="E90" s="49">
        <f>IF(A90="","",DATE(YEAR(A90),MONTH(A90),1))</f>
        <v/>
      </c>
    </row>
    <row r="91">
      <c r="A91" s="48" t="n"/>
      <c r="B91" s="44" t="n"/>
      <c r="C91" s="45" t="n"/>
      <c r="D91" s="44" t="n"/>
      <c r="E91" s="49">
        <f>IF(A91="","",DATE(YEAR(A91),MONTH(A91),1))</f>
        <v/>
      </c>
    </row>
    <row r="92">
      <c r="A92" s="48" t="n"/>
      <c r="B92" s="44" t="n"/>
      <c r="C92" s="45" t="n"/>
      <c r="D92" s="44" t="n"/>
      <c r="E92" s="49">
        <f>IF(A92="","",DATE(YEAR(A92),MONTH(A92),1))</f>
        <v/>
      </c>
    </row>
    <row r="93">
      <c r="A93" s="48" t="n"/>
      <c r="B93" s="44" t="n"/>
      <c r="C93" s="45" t="n"/>
      <c r="D93" s="44" t="n"/>
      <c r="E93" s="49">
        <f>IF(A93="","",DATE(YEAR(A93),MONTH(A93),1))</f>
        <v/>
      </c>
    </row>
    <row r="94">
      <c r="A94" s="48" t="n"/>
      <c r="B94" s="44" t="n"/>
      <c r="C94" s="45" t="n"/>
      <c r="D94" s="44" t="n"/>
      <c r="E94" s="49">
        <f>IF(A94="","",DATE(YEAR(A94),MONTH(A94),1))</f>
        <v/>
      </c>
    </row>
    <row r="95">
      <c r="A95" s="48" t="n"/>
      <c r="B95" s="44" t="n"/>
      <c r="C95" s="45" t="n"/>
      <c r="D95" s="44" t="n"/>
      <c r="E95" s="49">
        <f>IF(A95="","",DATE(YEAR(A95),MONTH(A95),1))</f>
        <v/>
      </c>
    </row>
    <row r="96">
      <c r="A96" s="48" t="n"/>
      <c r="B96" s="44" t="n"/>
      <c r="C96" s="45" t="n"/>
      <c r="D96" s="44" t="n"/>
      <c r="E96" s="49">
        <f>IF(A96="","",DATE(YEAR(A96),MONTH(A96),1))</f>
        <v/>
      </c>
    </row>
    <row r="97">
      <c r="A97" s="48" t="n"/>
      <c r="B97" s="44" t="n"/>
      <c r="C97" s="45" t="n"/>
      <c r="D97" s="44" t="n"/>
      <c r="E97" s="49">
        <f>IF(A97="","",DATE(YEAR(A97),MONTH(A97),1))</f>
        <v/>
      </c>
    </row>
    <row r="98">
      <c r="A98" s="48" t="n"/>
      <c r="B98" s="44" t="n"/>
      <c r="C98" s="45" t="n"/>
      <c r="D98" s="44" t="n"/>
      <c r="E98" s="49">
        <f>IF(A98="","",DATE(YEAR(A98),MONTH(A98),1))</f>
        <v/>
      </c>
    </row>
    <row r="99">
      <c r="A99" s="48" t="n"/>
      <c r="B99" s="44" t="n"/>
      <c r="C99" s="45" t="n"/>
      <c r="D99" s="44" t="n"/>
      <c r="E99" s="49">
        <f>IF(A99="","",DATE(YEAR(A99),MONTH(A99),1))</f>
        <v/>
      </c>
    </row>
    <row r="100">
      <c r="A100" s="48" t="n"/>
      <c r="B100" s="44" t="n"/>
      <c r="C100" s="45" t="n"/>
      <c r="D100" s="44" t="n"/>
      <c r="E100" s="49">
        <f>IF(A100="","",DATE(YEAR(A100),MONTH(A100),1))</f>
        <v/>
      </c>
    </row>
    <row r="101">
      <c r="A101" s="48" t="n"/>
      <c r="B101" s="44" t="n"/>
      <c r="C101" s="45" t="n"/>
      <c r="D101" s="44" t="n"/>
      <c r="E101" s="49">
        <f>IF(A101="","",DATE(YEAR(A101),MONTH(A101),1))</f>
        <v/>
      </c>
    </row>
    <row r="102">
      <c r="A102" s="48" t="n"/>
      <c r="B102" s="44" t="n"/>
      <c r="C102" s="45" t="n"/>
      <c r="D102" s="44" t="n"/>
      <c r="E102" s="49">
        <f>IF(A102="","",DATE(YEAR(A102),MONTH(A102),1))</f>
        <v/>
      </c>
    </row>
    <row r="103">
      <c r="A103" s="48" t="n"/>
      <c r="B103" s="44" t="n"/>
      <c r="C103" s="45" t="n"/>
      <c r="D103" s="44" t="n"/>
      <c r="E103" s="49">
        <f>IF(A103="","",DATE(YEAR(A103),MONTH(A103),1))</f>
        <v/>
      </c>
    </row>
    <row r="104">
      <c r="A104" s="48" t="n"/>
      <c r="B104" s="44" t="n"/>
      <c r="C104" s="45" t="n"/>
      <c r="D104" s="44" t="n"/>
      <c r="E104" s="49">
        <f>IF(A104="","",DATE(YEAR(A104),MONTH(A104),1))</f>
        <v/>
      </c>
    </row>
    <row r="105">
      <c r="A105" s="48" t="n"/>
      <c r="B105" s="44" t="n"/>
      <c r="C105" s="45" t="n"/>
      <c r="D105" s="44" t="n"/>
      <c r="E105" s="49">
        <f>IF(A105="","",DATE(YEAR(A105),MONTH(A105),1))</f>
        <v/>
      </c>
    </row>
    <row r="106">
      <c r="A106" s="48" t="n"/>
      <c r="B106" s="44" t="n"/>
      <c r="C106" s="45" t="n"/>
      <c r="D106" s="44" t="n"/>
      <c r="E106" s="49">
        <f>IF(A106="","",DATE(YEAR(A106),MONTH(A106),1))</f>
        <v/>
      </c>
    </row>
    <row r="107">
      <c r="A107" s="48" t="n"/>
      <c r="B107" s="44" t="n"/>
      <c r="C107" s="45" t="n"/>
      <c r="D107" s="44" t="n"/>
      <c r="E107" s="49">
        <f>IF(A107="","",DATE(YEAR(A107),MONTH(A107),1))</f>
        <v/>
      </c>
    </row>
    <row r="108">
      <c r="A108" s="48" t="n"/>
      <c r="B108" s="44" t="n"/>
      <c r="C108" s="45" t="n"/>
      <c r="D108" s="44" t="n"/>
      <c r="E108" s="49">
        <f>IF(A108="","",DATE(YEAR(A108),MONTH(A108),1))</f>
        <v/>
      </c>
    </row>
    <row r="109">
      <c r="A109" s="48" t="n"/>
      <c r="B109" s="44" t="n"/>
      <c r="C109" s="45" t="n"/>
      <c r="D109" s="44" t="n"/>
      <c r="E109" s="49">
        <f>IF(A109="","",DATE(YEAR(A109),MONTH(A109),1))</f>
        <v/>
      </c>
    </row>
    <row r="110">
      <c r="A110" s="48" t="n"/>
      <c r="B110" s="44" t="n"/>
      <c r="C110" s="45" t="n"/>
      <c r="D110" s="44" t="n"/>
      <c r="E110" s="49">
        <f>IF(A110="","",DATE(YEAR(A110),MONTH(A110),1))</f>
        <v/>
      </c>
    </row>
    <row r="111">
      <c r="A111" s="48" t="n"/>
      <c r="B111" s="44" t="n"/>
      <c r="C111" s="45" t="n"/>
      <c r="D111" s="44" t="n"/>
      <c r="E111" s="49">
        <f>IF(A111="","",DATE(YEAR(A111),MONTH(A111),1))</f>
        <v/>
      </c>
    </row>
    <row r="112">
      <c r="A112" s="48" t="n"/>
      <c r="B112" s="44" t="n"/>
      <c r="C112" s="45" t="n"/>
      <c r="D112" s="44" t="n"/>
      <c r="E112" s="49">
        <f>IF(A112="","",DATE(YEAR(A112),MONTH(A112),1))</f>
        <v/>
      </c>
    </row>
    <row r="113">
      <c r="A113" s="48" t="n"/>
      <c r="B113" s="44" t="n"/>
      <c r="C113" s="45" t="n"/>
      <c r="D113" s="44" t="n"/>
      <c r="E113" s="49">
        <f>IF(A113="","",DATE(YEAR(A113),MONTH(A113),1))</f>
        <v/>
      </c>
    </row>
    <row r="114">
      <c r="A114" s="48" t="n"/>
      <c r="B114" s="44" t="n"/>
      <c r="C114" s="45" t="n"/>
      <c r="D114" s="44" t="n"/>
      <c r="E114" s="49">
        <f>IF(A114="","",DATE(YEAR(A114),MONTH(A114),1))</f>
        <v/>
      </c>
    </row>
    <row r="115">
      <c r="A115" s="48" t="n"/>
      <c r="B115" s="44" t="n"/>
      <c r="C115" s="45" t="n"/>
      <c r="D115" s="44" t="n"/>
      <c r="E115" s="49">
        <f>IF(A115="","",DATE(YEAR(A115),MONTH(A115),1))</f>
        <v/>
      </c>
    </row>
    <row r="116">
      <c r="A116" s="48" t="n"/>
      <c r="B116" s="44" t="n"/>
      <c r="C116" s="45" t="n"/>
      <c r="D116" s="44" t="n"/>
      <c r="E116" s="49">
        <f>IF(A116="","",DATE(YEAR(A116),MONTH(A116),1))</f>
        <v/>
      </c>
    </row>
    <row r="117">
      <c r="A117" s="48" t="n"/>
      <c r="B117" s="44" t="n"/>
      <c r="C117" s="45" t="n"/>
      <c r="D117" s="44" t="n"/>
      <c r="E117" s="49">
        <f>IF(A117="","",DATE(YEAR(A117),MONTH(A117),1))</f>
        <v/>
      </c>
    </row>
    <row r="118">
      <c r="A118" s="48" t="n"/>
      <c r="B118" s="44" t="n"/>
      <c r="C118" s="45" t="n"/>
      <c r="D118" s="44" t="n"/>
      <c r="E118" s="49">
        <f>IF(A118="","",DATE(YEAR(A118),MONTH(A118),1))</f>
        <v/>
      </c>
    </row>
    <row r="119">
      <c r="A119" s="48" t="n"/>
      <c r="B119" s="44" t="n"/>
      <c r="C119" s="45" t="n"/>
      <c r="D119" s="44" t="n"/>
      <c r="E119" s="49">
        <f>IF(A119="","",DATE(YEAR(A119),MONTH(A119),1))</f>
        <v/>
      </c>
    </row>
    <row r="120">
      <c r="A120" s="48" t="n"/>
      <c r="B120" s="44" t="n"/>
      <c r="C120" s="45" t="n"/>
      <c r="D120" s="44" t="n"/>
      <c r="E120" s="49">
        <f>IF(A120="","",DATE(YEAR(A120),MONTH(A120),1))</f>
        <v/>
      </c>
    </row>
    <row r="121">
      <c r="A121" s="48" t="n"/>
      <c r="B121" s="44" t="n"/>
      <c r="C121" s="45" t="n"/>
      <c r="D121" s="44" t="n"/>
      <c r="E121" s="49">
        <f>IF(A121="","",DATE(YEAR(A121),MONTH(A121),1))</f>
        <v/>
      </c>
    </row>
    <row r="122">
      <c r="A122" s="48" t="n"/>
      <c r="B122" s="44" t="n"/>
      <c r="C122" s="45" t="n"/>
      <c r="D122" s="44" t="n"/>
      <c r="E122" s="49">
        <f>IF(A122="","",DATE(YEAR(A122),MONTH(A122),1))</f>
        <v/>
      </c>
    </row>
    <row r="123">
      <c r="A123" s="48" t="n"/>
      <c r="B123" s="44" t="n"/>
      <c r="C123" s="45" t="n"/>
      <c r="D123" s="44" t="n"/>
      <c r="E123" s="49">
        <f>IF(A123="","",DATE(YEAR(A123),MONTH(A123),1))</f>
        <v/>
      </c>
    </row>
    <row r="124">
      <c r="A124" s="48" t="n"/>
      <c r="B124" s="44" t="n"/>
      <c r="C124" s="45" t="n"/>
      <c r="D124" s="44" t="n"/>
      <c r="E124" s="49">
        <f>IF(A124="","",DATE(YEAR(A124),MONTH(A124),1))</f>
        <v/>
      </c>
    </row>
    <row r="125">
      <c r="A125" s="48" t="n"/>
      <c r="B125" s="44" t="n"/>
      <c r="C125" s="45" t="n"/>
      <c r="D125" s="44" t="n"/>
      <c r="E125" s="49">
        <f>IF(A125="","",DATE(YEAR(A125),MONTH(A125),1))</f>
        <v/>
      </c>
    </row>
    <row r="126">
      <c r="A126" s="48" t="n"/>
      <c r="B126" s="44" t="n"/>
      <c r="C126" s="45" t="n"/>
      <c r="D126" s="44" t="n"/>
      <c r="E126" s="49">
        <f>IF(A126="","",DATE(YEAR(A126),MONTH(A126),1))</f>
        <v/>
      </c>
    </row>
    <row r="127">
      <c r="A127" s="48" t="n"/>
      <c r="B127" s="44" t="n"/>
      <c r="C127" s="45" t="n"/>
      <c r="D127" s="44" t="n"/>
      <c r="E127" s="49">
        <f>IF(A127="","",DATE(YEAR(A127),MONTH(A127),1))</f>
        <v/>
      </c>
    </row>
    <row r="128">
      <c r="A128" s="48" t="n"/>
      <c r="B128" s="44" t="n"/>
      <c r="C128" s="45" t="n"/>
      <c r="D128" s="44" t="n"/>
      <c r="E128" s="49">
        <f>IF(A128="","",DATE(YEAR(A128),MONTH(A128),1))</f>
        <v/>
      </c>
    </row>
    <row r="129">
      <c r="A129" s="48" t="n"/>
      <c r="B129" s="44" t="n"/>
      <c r="C129" s="45" t="n"/>
      <c r="D129" s="44" t="n"/>
      <c r="E129" s="49">
        <f>IF(A129="","",DATE(YEAR(A129),MONTH(A129),1))</f>
        <v/>
      </c>
    </row>
    <row r="130">
      <c r="A130" s="48" t="n"/>
      <c r="B130" s="44" t="n"/>
      <c r="C130" s="45" t="n"/>
      <c r="D130" s="44" t="n"/>
      <c r="E130" s="49">
        <f>IF(A130="","",DATE(YEAR(A130),MONTH(A130),1))</f>
        <v/>
      </c>
    </row>
    <row r="131">
      <c r="A131" s="48" t="n"/>
      <c r="B131" s="44" t="n"/>
      <c r="C131" s="45" t="n"/>
      <c r="D131" s="44" t="n"/>
      <c r="E131" s="49">
        <f>IF(A131="","",DATE(YEAR(A131),MONTH(A131),1))</f>
        <v/>
      </c>
    </row>
    <row r="132">
      <c r="A132" s="48" t="n"/>
      <c r="B132" s="44" t="n"/>
      <c r="C132" s="45" t="n"/>
      <c r="D132" s="44" t="n"/>
      <c r="E132" s="49">
        <f>IF(A132="","",DATE(YEAR(A132),MONTH(A132),1))</f>
        <v/>
      </c>
    </row>
    <row r="133">
      <c r="A133" s="48" t="n"/>
      <c r="B133" s="44" t="n"/>
      <c r="C133" s="45" t="n"/>
      <c r="D133" s="44" t="n"/>
      <c r="E133" s="49">
        <f>IF(A133="","",DATE(YEAR(A133),MONTH(A133),1))</f>
        <v/>
      </c>
    </row>
    <row r="134">
      <c r="A134" s="48" t="n"/>
      <c r="B134" s="44" t="n"/>
      <c r="C134" s="45" t="n"/>
      <c r="D134" s="44" t="n"/>
      <c r="E134" s="49">
        <f>IF(A134="","",DATE(YEAR(A134),MONTH(A134),1))</f>
        <v/>
      </c>
    </row>
    <row r="135">
      <c r="A135" s="48" t="n"/>
      <c r="B135" s="44" t="n"/>
      <c r="C135" s="45" t="n"/>
      <c r="D135" s="44" t="n"/>
      <c r="E135" s="49">
        <f>IF(A135="","",DATE(YEAR(A135),MONTH(A135),1))</f>
        <v/>
      </c>
    </row>
    <row r="136">
      <c r="A136" s="48" t="n"/>
      <c r="B136" s="44" t="n"/>
      <c r="C136" s="45" t="n"/>
      <c r="D136" s="44" t="n"/>
      <c r="E136" s="49">
        <f>IF(A136="","",DATE(YEAR(A136),MONTH(A136),1))</f>
        <v/>
      </c>
    </row>
    <row r="137">
      <c r="A137" s="48" t="n"/>
      <c r="B137" s="44" t="n"/>
      <c r="C137" s="45" t="n"/>
      <c r="D137" s="44" t="n"/>
      <c r="E137" s="49">
        <f>IF(A137="","",DATE(YEAR(A137),MONTH(A137),1))</f>
        <v/>
      </c>
    </row>
    <row r="138">
      <c r="A138" s="48" t="n"/>
      <c r="B138" s="44" t="n"/>
      <c r="C138" s="45" t="n"/>
      <c r="D138" s="44" t="n"/>
      <c r="E138" s="49">
        <f>IF(A138="","",DATE(YEAR(A138),MONTH(A138),1))</f>
        <v/>
      </c>
    </row>
    <row r="139">
      <c r="A139" s="48" t="n"/>
      <c r="B139" s="44" t="n"/>
      <c r="C139" s="45" t="n"/>
      <c r="D139" s="44" t="n"/>
      <c r="E139" s="49">
        <f>IF(A139="","",DATE(YEAR(A139),MONTH(A139),1))</f>
        <v/>
      </c>
    </row>
    <row r="140">
      <c r="A140" s="48" t="n"/>
      <c r="B140" s="44" t="n"/>
      <c r="C140" s="45" t="n"/>
      <c r="D140" s="44" t="n"/>
      <c r="E140" s="49">
        <f>IF(A140="","",DATE(YEAR(A140),MONTH(A140),1))</f>
        <v/>
      </c>
    </row>
    <row r="141">
      <c r="A141" s="48" t="n"/>
      <c r="B141" s="44" t="n"/>
      <c r="C141" s="45" t="n"/>
      <c r="D141" s="44" t="n"/>
      <c r="E141" s="49">
        <f>IF(A141="","",DATE(YEAR(A141),MONTH(A141),1))</f>
        <v/>
      </c>
    </row>
    <row r="142">
      <c r="A142" s="48" t="n"/>
      <c r="B142" s="44" t="n"/>
      <c r="C142" s="45" t="n"/>
      <c r="D142" s="44" t="n"/>
      <c r="E142" s="49">
        <f>IF(A142="","",DATE(YEAR(A142),MONTH(A142),1))</f>
        <v/>
      </c>
    </row>
    <row r="143">
      <c r="A143" s="48" t="n"/>
      <c r="B143" s="44" t="n"/>
      <c r="C143" s="45" t="n"/>
      <c r="D143" s="44" t="n"/>
      <c r="E143" s="49">
        <f>IF(A143="","",DATE(YEAR(A143),MONTH(A143),1))</f>
        <v/>
      </c>
    </row>
    <row r="144">
      <c r="A144" s="48" t="n"/>
      <c r="B144" s="44" t="n"/>
      <c r="C144" s="45" t="n"/>
      <c r="D144" s="44" t="n"/>
      <c r="E144" s="49">
        <f>IF(A144="","",DATE(YEAR(A144),MONTH(A144),1))</f>
        <v/>
      </c>
    </row>
    <row r="145">
      <c r="A145" s="48" t="n"/>
      <c r="B145" s="44" t="n"/>
      <c r="C145" s="45" t="n"/>
      <c r="D145" s="44" t="n"/>
      <c r="E145" s="49">
        <f>IF(A145="","",DATE(YEAR(A145),MONTH(A145),1))</f>
        <v/>
      </c>
    </row>
    <row r="146">
      <c r="A146" s="48" t="n"/>
      <c r="B146" s="44" t="n"/>
      <c r="C146" s="45" t="n"/>
      <c r="D146" s="44" t="n"/>
      <c r="E146" s="49">
        <f>IF(A146="","",DATE(YEAR(A146),MONTH(A146),1))</f>
        <v/>
      </c>
    </row>
    <row r="147">
      <c r="A147" s="48" t="n"/>
      <c r="B147" s="44" t="n"/>
      <c r="C147" s="45" t="n"/>
      <c r="D147" s="44" t="n"/>
      <c r="E147" s="49">
        <f>IF(A147="","",DATE(YEAR(A147),MONTH(A147),1))</f>
        <v/>
      </c>
    </row>
    <row r="148">
      <c r="A148" s="48" t="n"/>
      <c r="B148" s="44" t="n"/>
      <c r="C148" s="45" t="n"/>
      <c r="D148" s="44" t="n"/>
      <c r="E148" s="49">
        <f>IF(A148="","",DATE(YEAR(A148),MONTH(A148),1))</f>
        <v/>
      </c>
    </row>
    <row r="149">
      <c r="A149" s="48" t="n"/>
      <c r="B149" s="44" t="n"/>
      <c r="C149" s="45" t="n"/>
      <c r="D149" s="44" t="n"/>
      <c r="E149" s="49">
        <f>IF(A149="","",DATE(YEAR(A149),MONTH(A149),1))</f>
        <v/>
      </c>
    </row>
    <row r="150">
      <c r="A150" s="48" t="n"/>
      <c r="B150" s="44" t="n"/>
      <c r="C150" s="45" t="n"/>
      <c r="D150" s="44" t="n"/>
      <c r="E150" s="49">
        <f>IF(A150="","",DATE(YEAR(A150),MONTH(A150),1))</f>
        <v/>
      </c>
    </row>
    <row r="151">
      <c r="A151" s="48" t="n"/>
      <c r="B151" s="44" t="n"/>
      <c r="C151" s="45" t="n"/>
      <c r="D151" s="44" t="n"/>
      <c r="E151" s="49">
        <f>IF(A151="","",DATE(YEAR(A151),MONTH(A151),1))</f>
        <v/>
      </c>
    </row>
    <row r="152">
      <c r="A152" s="48" t="n"/>
      <c r="B152" s="44" t="n"/>
      <c r="C152" s="45" t="n"/>
      <c r="D152" s="44" t="n"/>
      <c r="E152" s="49">
        <f>IF(A152="","",DATE(YEAR(A152),MONTH(A152),1))</f>
        <v/>
      </c>
    </row>
    <row r="153">
      <c r="A153" s="48" t="n"/>
      <c r="B153" s="44" t="n"/>
      <c r="C153" s="45" t="n"/>
      <c r="D153" s="44" t="n"/>
      <c r="E153" s="49">
        <f>IF(A153="","",DATE(YEAR(A153),MONTH(A153),1))</f>
        <v/>
      </c>
    </row>
    <row r="154">
      <c r="A154" s="48" t="n"/>
      <c r="B154" s="44" t="n"/>
      <c r="C154" s="45" t="n"/>
      <c r="D154" s="44" t="n"/>
      <c r="E154" s="49">
        <f>IF(A154="","",DATE(YEAR(A154),MONTH(A154),1))</f>
        <v/>
      </c>
    </row>
    <row r="155">
      <c r="A155" s="48" t="n"/>
      <c r="B155" s="44" t="n"/>
      <c r="C155" s="45" t="n"/>
      <c r="D155" s="44" t="n"/>
      <c r="E155" s="49">
        <f>IF(A155="","",DATE(YEAR(A155),MONTH(A155),1))</f>
        <v/>
      </c>
    </row>
    <row r="156">
      <c r="A156" s="48" t="n"/>
      <c r="B156" s="44" t="n"/>
      <c r="C156" s="45" t="n"/>
      <c r="D156" s="44" t="n"/>
      <c r="E156" s="49">
        <f>IF(A156="","",DATE(YEAR(A156),MONTH(A156),1))</f>
        <v/>
      </c>
    </row>
    <row r="157">
      <c r="A157" s="48" t="n"/>
      <c r="B157" s="44" t="n"/>
      <c r="C157" s="45" t="n"/>
      <c r="D157" s="44" t="n"/>
      <c r="E157" s="49">
        <f>IF(A157="","",DATE(YEAR(A157),MONTH(A157),1))</f>
        <v/>
      </c>
    </row>
    <row r="158">
      <c r="A158" s="48" t="n"/>
      <c r="B158" s="44" t="n"/>
      <c r="C158" s="45" t="n"/>
      <c r="D158" s="44" t="n"/>
      <c r="E158" s="49">
        <f>IF(A158="","",DATE(YEAR(A158),MONTH(A158),1))</f>
        <v/>
      </c>
    </row>
    <row r="159">
      <c r="A159" s="48" t="n"/>
      <c r="B159" s="44" t="n"/>
      <c r="C159" s="45" t="n"/>
      <c r="D159" s="44" t="n"/>
      <c r="E159" s="49">
        <f>IF(A159="","",DATE(YEAR(A159),MONTH(A159),1))</f>
        <v/>
      </c>
    </row>
    <row r="160">
      <c r="A160" s="48" t="n"/>
      <c r="B160" s="44" t="n"/>
      <c r="C160" s="45" t="n"/>
      <c r="D160" s="44" t="n"/>
      <c r="E160" s="49">
        <f>IF(A160="","",DATE(YEAR(A160),MONTH(A160),1))</f>
        <v/>
      </c>
    </row>
    <row r="161">
      <c r="A161" s="48" t="n"/>
      <c r="B161" s="44" t="n"/>
      <c r="C161" s="45" t="n"/>
      <c r="D161" s="44" t="n"/>
      <c r="E161" s="49">
        <f>IF(A161="","",DATE(YEAR(A161),MONTH(A161),1))</f>
        <v/>
      </c>
    </row>
    <row r="162">
      <c r="A162" s="48" t="n"/>
      <c r="B162" s="44" t="n"/>
      <c r="C162" s="45" t="n"/>
      <c r="D162" s="44" t="n"/>
      <c r="E162" s="49">
        <f>IF(A162="","",DATE(YEAR(A162),MONTH(A162),1))</f>
        <v/>
      </c>
    </row>
    <row r="163">
      <c r="A163" s="48" t="n"/>
      <c r="B163" s="44" t="n"/>
      <c r="C163" s="45" t="n"/>
      <c r="D163" s="44" t="n"/>
      <c r="E163" s="49">
        <f>IF(A163="","",DATE(YEAR(A163),MONTH(A163),1))</f>
        <v/>
      </c>
    </row>
    <row r="164">
      <c r="A164" s="48" t="n"/>
      <c r="B164" s="44" t="n"/>
      <c r="C164" s="45" t="n"/>
      <c r="D164" s="44" t="n"/>
      <c r="E164" s="49">
        <f>IF(A164="","",DATE(YEAR(A164),MONTH(A164),1))</f>
        <v/>
      </c>
    </row>
    <row r="165">
      <c r="A165" s="48" t="n"/>
      <c r="B165" s="44" t="n"/>
      <c r="C165" s="45" t="n"/>
      <c r="D165" s="44" t="n"/>
      <c r="E165" s="49">
        <f>IF(A165="","",DATE(YEAR(A165),MONTH(A165),1))</f>
        <v/>
      </c>
    </row>
    <row r="166">
      <c r="A166" s="48" t="n"/>
      <c r="B166" s="44" t="n"/>
      <c r="C166" s="45" t="n"/>
      <c r="D166" s="44" t="n"/>
      <c r="E166" s="49">
        <f>IF(A166="","",DATE(YEAR(A166),MONTH(A166),1))</f>
        <v/>
      </c>
    </row>
    <row r="167">
      <c r="A167" s="48" t="n"/>
      <c r="B167" s="44" t="n"/>
      <c r="C167" s="45" t="n"/>
      <c r="D167" s="44" t="n"/>
      <c r="E167" s="49">
        <f>IF(A167="","",DATE(YEAR(A167),MONTH(A167),1))</f>
        <v/>
      </c>
    </row>
    <row r="168">
      <c r="A168" s="48" t="n"/>
      <c r="B168" s="44" t="n"/>
      <c r="C168" s="45" t="n"/>
      <c r="D168" s="44" t="n"/>
      <c r="E168" s="49">
        <f>IF(A168="","",DATE(YEAR(A168),MONTH(A168),1))</f>
        <v/>
      </c>
    </row>
    <row r="169">
      <c r="A169" s="48" t="n"/>
      <c r="B169" s="44" t="n"/>
      <c r="C169" s="45" t="n"/>
      <c r="D169" s="44" t="n"/>
      <c r="E169" s="49">
        <f>IF(A169="","",DATE(YEAR(A169),MONTH(A169),1))</f>
        <v/>
      </c>
    </row>
    <row r="170">
      <c r="A170" s="48" t="n"/>
      <c r="B170" s="44" t="n"/>
      <c r="C170" s="45" t="n"/>
      <c r="D170" s="44" t="n"/>
      <c r="E170" s="49">
        <f>IF(A170="","",DATE(YEAR(A170),MONTH(A170),1))</f>
        <v/>
      </c>
    </row>
    <row r="171">
      <c r="A171" s="48" t="n"/>
      <c r="B171" s="44" t="n"/>
      <c r="C171" s="45" t="n"/>
      <c r="D171" s="44" t="n"/>
      <c r="E171" s="49">
        <f>IF(A171="","",DATE(YEAR(A171),MONTH(A171),1))</f>
        <v/>
      </c>
    </row>
    <row r="172">
      <c r="A172" s="48" t="n"/>
      <c r="B172" s="44" t="n"/>
      <c r="C172" s="45" t="n"/>
      <c r="D172" s="44" t="n"/>
      <c r="E172" s="49">
        <f>IF(A172="","",DATE(YEAR(A172),MONTH(A172),1))</f>
        <v/>
      </c>
    </row>
    <row r="173">
      <c r="A173" s="48" t="n"/>
      <c r="B173" s="44" t="n"/>
      <c r="C173" s="45" t="n"/>
      <c r="D173" s="44" t="n"/>
      <c r="E173" s="49">
        <f>IF(A173="","",DATE(YEAR(A173),MONTH(A173),1))</f>
        <v/>
      </c>
    </row>
    <row r="174">
      <c r="A174" s="48" t="n"/>
      <c r="B174" s="44" t="n"/>
      <c r="C174" s="45" t="n"/>
      <c r="D174" s="44" t="n"/>
      <c r="E174" s="49">
        <f>IF(A174="","",DATE(YEAR(A174),MONTH(A174),1))</f>
        <v/>
      </c>
    </row>
    <row r="175">
      <c r="A175" s="48" t="n"/>
      <c r="B175" s="44" t="n"/>
      <c r="C175" s="45" t="n"/>
      <c r="D175" s="44" t="n"/>
      <c r="E175" s="49">
        <f>IF(A175="","",DATE(YEAR(A175),MONTH(A175),1))</f>
        <v/>
      </c>
    </row>
    <row r="176">
      <c r="A176" s="48" t="n"/>
      <c r="B176" s="44" t="n"/>
      <c r="C176" s="45" t="n"/>
      <c r="D176" s="44" t="n"/>
      <c r="E176" s="49">
        <f>IF(A176="","",DATE(YEAR(A176),MONTH(A176),1))</f>
        <v/>
      </c>
    </row>
    <row r="177">
      <c r="A177" s="48" t="n"/>
      <c r="B177" s="44" t="n"/>
      <c r="C177" s="45" t="n"/>
      <c r="D177" s="44" t="n"/>
      <c r="E177" s="49">
        <f>IF(A177="","",DATE(YEAR(A177),MONTH(A177),1))</f>
        <v/>
      </c>
    </row>
    <row r="178">
      <c r="A178" s="48" t="n"/>
      <c r="B178" s="44" t="n"/>
      <c r="C178" s="45" t="n"/>
      <c r="D178" s="44" t="n"/>
      <c r="E178" s="49">
        <f>IF(A178="","",DATE(YEAR(A178),MONTH(A178),1))</f>
        <v/>
      </c>
    </row>
    <row r="179">
      <c r="A179" s="48" t="n"/>
      <c r="B179" s="44" t="n"/>
      <c r="C179" s="45" t="n"/>
      <c r="D179" s="44" t="n"/>
      <c r="E179" s="49">
        <f>IF(A179="","",DATE(YEAR(A179),MONTH(A179),1))</f>
        <v/>
      </c>
    </row>
    <row r="180">
      <c r="A180" s="48" t="n"/>
      <c r="B180" s="44" t="n"/>
      <c r="C180" s="45" t="n"/>
      <c r="D180" s="44" t="n"/>
      <c r="E180" s="49">
        <f>IF(A180="","",DATE(YEAR(A180),MONTH(A180),1))</f>
        <v/>
      </c>
    </row>
    <row r="181">
      <c r="A181" s="48" t="n"/>
      <c r="B181" s="44" t="n"/>
      <c r="C181" s="45" t="n"/>
      <c r="D181" s="44" t="n"/>
      <c r="E181" s="49">
        <f>IF(A181="","",DATE(YEAR(A181),MONTH(A181),1))</f>
        <v/>
      </c>
    </row>
    <row r="182">
      <c r="A182" s="48" t="n"/>
      <c r="B182" s="44" t="n"/>
      <c r="C182" s="45" t="n"/>
      <c r="D182" s="44" t="n"/>
      <c r="E182" s="49">
        <f>IF(A182="","",DATE(YEAR(A182),MONTH(A182),1))</f>
        <v/>
      </c>
    </row>
    <row r="183">
      <c r="A183" s="48" t="n"/>
      <c r="B183" s="44" t="n"/>
      <c r="C183" s="45" t="n"/>
      <c r="D183" s="44" t="n"/>
      <c r="E183" s="49">
        <f>IF(A183="","",DATE(YEAR(A183),MONTH(A183),1))</f>
        <v/>
      </c>
    </row>
    <row r="184">
      <c r="A184" s="48" t="n"/>
      <c r="B184" s="44" t="n"/>
      <c r="C184" s="45" t="n"/>
      <c r="D184" s="44" t="n"/>
      <c r="E184" s="49">
        <f>IF(A184="","",DATE(YEAR(A184),MONTH(A184),1))</f>
        <v/>
      </c>
    </row>
    <row r="185">
      <c r="A185" s="48" t="n"/>
      <c r="B185" s="44" t="n"/>
      <c r="C185" s="45" t="n"/>
      <c r="D185" s="44" t="n"/>
      <c r="E185" s="49">
        <f>IF(A185="","",DATE(YEAR(A185),MONTH(A185),1))</f>
        <v/>
      </c>
    </row>
    <row r="186">
      <c r="A186" s="48" t="n"/>
      <c r="B186" s="44" t="n"/>
      <c r="C186" s="45" t="n"/>
      <c r="D186" s="44" t="n"/>
      <c r="E186" s="49">
        <f>IF(A186="","",DATE(YEAR(A186),MONTH(A186),1))</f>
        <v/>
      </c>
    </row>
    <row r="187">
      <c r="A187" s="48" t="n"/>
      <c r="B187" s="44" t="n"/>
      <c r="C187" s="45" t="n"/>
      <c r="D187" s="44" t="n"/>
      <c r="E187" s="49">
        <f>IF(A187="","",DATE(YEAR(A187),MONTH(A187),1))</f>
        <v/>
      </c>
    </row>
    <row r="188">
      <c r="A188" s="48" t="n"/>
      <c r="B188" s="44" t="n"/>
      <c r="C188" s="45" t="n"/>
      <c r="D188" s="44" t="n"/>
      <c r="E188" s="49">
        <f>IF(A188="","",DATE(YEAR(A188),MONTH(A188),1))</f>
        <v/>
      </c>
    </row>
    <row r="189">
      <c r="A189" s="48" t="n"/>
      <c r="B189" s="44" t="n"/>
      <c r="C189" s="45" t="n"/>
      <c r="D189" s="44" t="n"/>
      <c r="E189" s="49">
        <f>IF(A189="","",DATE(YEAR(A189),MONTH(A189),1))</f>
        <v/>
      </c>
    </row>
    <row r="190">
      <c r="A190" s="48" t="n"/>
      <c r="B190" s="44" t="n"/>
      <c r="C190" s="45" t="n"/>
      <c r="D190" s="44" t="n"/>
      <c r="E190" s="49">
        <f>IF(A190="","",DATE(YEAR(A190),MONTH(A190),1))</f>
        <v/>
      </c>
    </row>
    <row r="191">
      <c r="A191" s="48" t="n"/>
      <c r="B191" s="44" t="n"/>
      <c r="C191" s="45" t="n"/>
      <c r="D191" s="44" t="n"/>
      <c r="E191" s="49">
        <f>IF(A191="","",DATE(YEAR(A191),MONTH(A191),1))</f>
        <v/>
      </c>
    </row>
    <row r="192">
      <c r="A192" s="48" t="n"/>
      <c r="B192" s="44" t="n"/>
      <c r="C192" s="45" t="n"/>
      <c r="D192" s="44" t="n"/>
      <c r="E192" s="49">
        <f>IF(A192="","",DATE(YEAR(A192),MONTH(A192),1))</f>
        <v/>
      </c>
    </row>
    <row r="193">
      <c r="A193" s="48" t="n"/>
      <c r="B193" s="44" t="n"/>
      <c r="C193" s="45" t="n"/>
      <c r="D193" s="44" t="n"/>
      <c r="E193" s="49">
        <f>IF(A193="","",DATE(YEAR(A193),MONTH(A193),1))</f>
        <v/>
      </c>
    </row>
    <row r="194">
      <c r="A194" s="48" t="n"/>
      <c r="B194" s="44" t="n"/>
      <c r="C194" s="45" t="n"/>
      <c r="D194" s="44" t="n"/>
      <c r="E194" s="49">
        <f>IF(A194="","",DATE(YEAR(A194),MONTH(A194),1))</f>
        <v/>
      </c>
    </row>
    <row r="195">
      <c r="A195" s="48" t="n"/>
      <c r="B195" s="44" t="n"/>
      <c r="C195" s="45" t="n"/>
      <c r="D195" s="44" t="n"/>
      <c r="E195" s="49">
        <f>IF(A195="","",DATE(YEAR(A195),MONTH(A195),1))</f>
        <v/>
      </c>
    </row>
    <row r="196">
      <c r="A196" s="48" t="n"/>
      <c r="B196" s="44" t="n"/>
      <c r="C196" s="45" t="n"/>
      <c r="D196" s="44" t="n"/>
      <c r="E196" s="49">
        <f>IF(A196="","",DATE(YEAR(A196),MONTH(A196),1))</f>
        <v/>
      </c>
    </row>
    <row r="197">
      <c r="A197" s="48" t="n"/>
      <c r="B197" s="44" t="n"/>
      <c r="C197" s="45" t="n"/>
      <c r="D197" s="44" t="n"/>
      <c r="E197" s="49">
        <f>IF(A197="","",DATE(YEAR(A197),MONTH(A197),1))</f>
        <v/>
      </c>
    </row>
    <row r="198">
      <c r="A198" s="48" t="n"/>
      <c r="B198" s="44" t="n"/>
      <c r="C198" s="45" t="n"/>
      <c r="D198" s="44" t="n"/>
      <c r="E198" s="49">
        <f>IF(A198="","",DATE(YEAR(A198),MONTH(A198),1))</f>
        <v/>
      </c>
    </row>
    <row r="199">
      <c r="A199" s="48" t="n"/>
      <c r="B199" s="44" t="n"/>
      <c r="C199" s="45" t="n"/>
      <c r="D199" s="44" t="n"/>
      <c r="E199" s="49">
        <f>IF(A199="","",DATE(YEAR(A199),MONTH(A199),1))</f>
        <v/>
      </c>
    </row>
    <row r="200">
      <c r="A200" s="48" t="n"/>
      <c r="B200" s="44" t="n"/>
      <c r="C200" s="45" t="n"/>
      <c r="D200" s="44" t="n"/>
      <c r="E200" s="49">
        <f>IF(A200="","",DATE(YEAR(A200),MONTH(A200),1))</f>
        <v/>
      </c>
    </row>
    <row r="201">
      <c r="A201" s="48" t="n"/>
      <c r="B201" s="44" t="n"/>
      <c r="C201" s="45" t="n"/>
      <c r="D201" s="44" t="n"/>
      <c r="E201" s="49">
        <f>IF(A201="","",DATE(YEAR(A201),MONTH(A201),1))</f>
        <v/>
      </c>
    </row>
    <row r="202">
      <c r="A202" s="48" t="n"/>
      <c r="B202" s="44" t="n"/>
      <c r="C202" s="45" t="n"/>
      <c r="D202" s="44" t="n"/>
      <c r="E202" s="49">
        <f>IF(A202="","",DATE(YEAR(A202),MONTH(A202),1))</f>
        <v/>
      </c>
    </row>
    <row r="203">
      <c r="A203" s="48" t="n"/>
      <c r="B203" s="44" t="n"/>
      <c r="C203" s="45" t="n"/>
      <c r="D203" s="44" t="n"/>
      <c r="E203" s="49">
        <f>IF(A203="","",DATE(YEAR(A203),MONTH(A203),1))</f>
        <v/>
      </c>
    </row>
    <row r="204">
      <c r="A204" s="48" t="n"/>
      <c r="B204" s="44" t="n"/>
      <c r="C204" s="45" t="n"/>
      <c r="D204" s="44" t="n"/>
      <c r="E204" s="49">
        <f>IF(A204="","",DATE(YEAR(A204),MONTH(A204),1))</f>
        <v/>
      </c>
    </row>
    <row r="205">
      <c r="A205" s="48" t="n"/>
      <c r="B205" s="44" t="n"/>
      <c r="C205" s="45" t="n"/>
      <c r="D205" s="44" t="n"/>
      <c r="E205" s="49">
        <f>IF(A205="","",DATE(YEAR(A205),MONTH(A205),1))</f>
        <v/>
      </c>
    </row>
    <row r="206">
      <c r="A206" s="48" t="n"/>
      <c r="B206" s="44" t="n"/>
      <c r="C206" s="45" t="n"/>
      <c r="D206" s="44" t="n"/>
      <c r="E206" s="49">
        <f>IF(A206="","",DATE(YEAR(A206),MONTH(A206),1))</f>
        <v/>
      </c>
    </row>
    <row r="207">
      <c r="A207" s="48" t="n"/>
      <c r="B207" s="44" t="n"/>
      <c r="C207" s="45" t="n"/>
      <c r="D207" s="44" t="n"/>
      <c r="E207" s="49">
        <f>IF(A207="","",DATE(YEAR(A207),MONTH(A207),1))</f>
        <v/>
      </c>
    </row>
    <row r="208">
      <c r="A208" s="48" t="n"/>
      <c r="B208" s="44" t="n"/>
      <c r="C208" s="45" t="n"/>
      <c r="D208" s="44" t="n"/>
      <c r="E208" s="49">
        <f>IF(A208="","",DATE(YEAR(A208),MONTH(A208),1))</f>
        <v/>
      </c>
    </row>
    <row r="209">
      <c r="A209" s="48" t="n"/>
      <c r="B209" s="44" t="n"/>
      <c r="C209" s="45" t="n"/>
      <c r="D209" s="44" t="n"/>
      <c r="E209" s="49">
        <f>IF(A209="","",DATE(YEAR(A209),MONTH(A209),1))</f>
        <v/>
      </c>
    </row>
    <row r="210">
      <c r="A210" s="48" t="n"/>
      <c r="B210" s="44" t="n"/>
      <c r="C210" s="45" t="n"/>
      <c r="D210" s="44" t="n"/>
      <c r="E210" s="49">
        <f>IF(A210="","",DATE(YEAR(A210),MONTH(A210),1))</f>
        <v/>
      </c>
    </row>
    <row r="211">
      <c r="A211" s="48" t="n"/>
      <c r="B211" s="44" t="n"/>
      <c r="C211" s="45" t="n"/>
      <c r="D211" s="44" t="n"/>
      <c r="E211" s="49">
        <f>IF(A211="","",DATE(YEAR(A211),MONTH(A211),1))</f>
        <v/>
      </c>
    </row>
    <row r="212">
      <c r="A212" s="48" t="n"/>
      <c r="B212" s="44" t="n"/>
      <c r="C212" s="45" t="n"/>
      <c r="D212" s="44" t="n"/>
      <c r="E212" s="49">
        <f>IF(A212="","",DATE(YEAR(A212),MONTH(A212),1))</f>
        <v/>
      </c>
    </row>
    <row r="213">
      <c r="A213" s="48" t="n"/>
      <c r="B213" s="44" t="n"/>
      <c r="C213" s="45" t="n"/>
      <c r="D213" s="44" t="n"/>
      <c r="E213" s="49">
        <f>IF(A213="","",DATE(YEAR(A213),MONTH(A213),1))</f>
        <v/>
      </c>
    </row>
    <row r="214">
      <c r="A214" s="48" t="n"/>
      <c r="B214" s="44" t="n"/>
      <c r="C214" s="45" t="n"/>
      <c r="D214" s="44" t="n"/>
      <c r="E214" s="49">
        <f>IF(A214="","",DATE(YEAR(A214),MONTH(A214),1))</f>
        <v/>
      </c>
    </row>
    <row r="215">
      <c r="A215" s="48" t="n"/>
      <c r="B215" s="44" t="n"/>
      <c r="C215" s="45" t="n"/>
      <c r="D215" s="44" t="n"/>
      <c r="E215" s="49">
        <f>IF(A215="","",DATE(YEAR(A215),MONTH(A215),1))</f>
        <v/>
      </c>
    </row>
    <row r="216">
      <c r="A216" s="48" t="n"/>
      <c r="B216" s="44" t="n"/>
      <c r="C216" s="45" t="n"/>
      <c r="D216" s="44" t="n"/>
      <c r="E216" s="49">
        <f>IF(A216="","",DATE(YEAR(A216),MONTH(A216),1))</f>
        <v/>
      </c>
    </row>
    <row r="217">
      <c r="A217" s="48" t="n"/>
      <c r="B217" s="44" t="n"/>
      <c r="C217" s="45" t="n"/>
      <c r="D217" s="44" t="n"/>
      <c r="E217" s="49">
        <f>IF(A217="","",DATE(YEAR(A217),MONTH(A217),1))</f>
        <v/>
      </c>
    </row>
    <row r="218">
      <c r="A218" s="48" t="n"/>
      <c r="B218" s="44" t="n"/>
      <c r="C218" s="45" t="n"/>
      <c r="D218" s="44" t="n"/>
      <c r="E218" s="49">
        <f>IF(A218="","",DATE(YEAR(A218),MONTH(A218),1))</f>
        <v/>
      </c>
    </row>
    <row r="219">
      <c r="A219" s="48" t="n"/>
      <c r="B219" s="44" t="n"/>
      <c r="C219" s="45" t="n"/>
      <c r="D219" s="44" t="n"/>
      <c r="E219" s="49">
        <f>IF(A219="","",DATE(YEAR(A219),MONTH(A219),1))</f>
        <v/>
      </c>
    </row>
    <row r="220">
      <c r="A220" s="48" t="n"/>
      <c r="B220" s="44" t="n"/>
      <c r="C220" s="45" t="n"/>
      <c r="D220" s="44" t="n"/>
      <c r="E220" s="49">
        <f>IF(A220="","",DATE(YEAR(A220),MONTH(A220),1))</f>
        <v/>
      </c>
    </row>
    <row r="221">
      <c r="A221" s="48" t="n"/>
      <c r="B221" s="44" t="n"/>
      <c r="C221" s="45" t="n"/>
      <c r="D221" s="44" t="n"/>
      <c r="E221" s="49">
        <f>IF(A221="","",DATE(YEAR(A221),MONTH(A221),1))</f>
        <v/>
      </c>
    </row>
    <row r="222">
      <c r="A222" s="48" t="n"/>
      <c r="B222" s="44" t="n"/>
      <c r="C222" s="45" t="n"/>
      <c r="D222" s="44" t="n"/>
      <c r="E222" s="49">
        <f>IF(A222="","",DATE(YEAR(A222),MONTH(A222),1))</f>
        <v/>
      </c>
    </row>
    <row r="223">
      <c r="A223" s="48" t="n"/>
      <c r="B223" s="44" t="n"/>
      <c r="C223" s="45" t="n"/>
      <c r="D223" s="44" t="n"/>
      <c r="E223" s="49">
        <f>IF(A223="","",DATE(YEAR(A223),MONTH(A223),1))</f>
        <v/>
      </c>
    </row>
    <row r="224">
      <c r="A224" s="48" t="n"/>
      <c r="B224" s="44" t="n"/>
      <c r="C224" s="45" t="n"/>
      <c r="D224" s="44" t="n"/>
      <c r="E224" s="49">
        <f>IF(A224="","",DATE(YEAR(A224),MONTH(A224),1))</f>
        <v/>
      </c>
    </row>
    <row r="225">
      <c r="A225" s="48" t="n"/>
      <c r="B225" s="44" t="n"/>
      <c r="C225" s="45" t="n"/>
      <c r="D225" s="44" t="n"/>
      <c r="E225" s="49">
        <f>IF(A225="","",DATE(YEAR(A225),MONTH(A225),1))</f>
        <v/>
      </c>
    </row>
    <row r="226">
      <c r="A226" s="48" t="n"/>
      <c r="B226" s="44" t="n"/>
      <c r="C226" s="45" t="n"/>
      <c r="D226" s="44" t="n"/>
      <c r="E226" s="49">
        <f>IF(A226="","",DATE(YEAR(A226),MONTH(A226),1))</f>
        <v/>
      </c>
    </row>
    <row r="227">
      <c r="A227" s="48" t="n"/>
      <c r="B227" s="44" t="n"/>
      <c r="C227" s="45" t="n"/>
      <c r="D227" s="44" t="n"/>
      <c r="E227" s="49">
        <f>IF(A227="","",DATE(YEAR(A227),MONTH(A227),1))</f>
        <v/>
      </c>
    </row>
    <row r="228">
      <c r="A228" s="48" t="n"/>
      <c r="B228" s="44" t="n"/>
      <c r="C228" s="45" t="n"/>
      <c r="D228" s="44" t="n"/>
      <c r="E228" s="49">
        <f>IF(A228="","",DATE(YEAR(A228),MONTH(A228),1))</f>
        <v/>
      </c>
    </row>
    <row r="229">
      <c r="A229" s="48" t="n"/>
      <c r="B229" s="44" t="n"/>
      <c r="C229" s="45" t="n"/>
      <c r="D229" s="44" t="n"/>
      <c r="E229" s="49">
        <f>IF(A229="","",DATE(YEAR(A229),MONTH(A229),1))</f>
        <v/>
      </c>
    </row>
    <row r="230">
      <c r="A230" s="48" t="n"/>
      <c r="B230" s="44" t="n"/>
      <c r="C230" s="45" t="n"/>
      <c r="D230" s="44" t="n"/>
      <c r="E230" s="49">
        <f>IF(A230="","",DATE(YEAR(A230),MONTH(A230),1))</f>
        <v/>
      </c>
    </row>
    <row r="231">
      <c r="A231" s="48" t="n"/>
      <c r="B231" s="44" t="n"/>
      <c r="C231" s="45" t="n"/>
      <c r="D231" s="44" t="n"/>
      <c r="E231" s="49">
        <f>IF(A231="","",DATE(YEAR(A231),MONTH(A231),1))</f>
        <v/>
      </c>
    </row>
    <row r="232">
      <c r="A232" s="48" t="n"/>
      <c r="B232" s="44" t="n"/>
      <c r="C232" s="45" t="n"/>
      <c r="D232" s="44" t="n"/>
      <c r="E232" s="49">
        <f>IF(A232="","",DATE(YEAR(A232),MONTH(A232),1))</f>
        <v/>
      </c>
    </row>
    <row r="233">
      <c r="A233" s="48" t="n"/>
      <c r="B233" s="44" t="n"/>
      <c r="C233" s="45" t="n"/>
      <c r="D233" s="44" t="n"/>
      <c r="E233" s="49">
        <f>IF(A233="","",DATE(YEAR(A233),MONTH(A233),1))</f>
        <v/>
      </c>
    </row>
    <row r="234">
      <c r="A234" s="48" t="n"/>
      <c r="B234" s="44" t="n"/>
      <c r="C234" s="45" t="n"/>
      <c r="D234" s="44" t="n"/>
      <c r="E234" s="49">
        <f>IF(A234="","",DATE(YEAR(A234),MONTH(A234),1))</f>
        <v/>
      </c>
    </row>
    <row r="235">
      <c r="A235" s="48" t="n"/>
      <c r="B235" s="44" t="n"/>
      <c r="C235" s="45" t="n"/>
      <c r="D235" s="44" t="n"/>
      <c r="E235" s="49">
        <f>IF(A235="","",DATE(YEAR(A235),MONTH(A235),1))</f>
        <v/>
      </c>
    </row>
    <row r="236">
      <c r="A236" s="48" t="n"/>
      <c r="B236" s="44" t="n"/>
      <c r="C236" s="45" t="n"/>
      <c r="D236" s="44" t="n"/>
      <c r="E236" s="49">
        <f>IF(A236="","",DATE(YEAR(A236),MONTH(A236),1))</f>
        <v/>
      </c>
    </row>
    <row r="237">
      <c r="A237" s="48" t="n"/>
      <c r="B237" s="44" t="n"/>
      <c r="C237" s="45" t="n"/>
      <c r="D237" s="44" t="n"/>
      <c r="E237" s="49">
        <f>IF(A237="","",DATE(YEAR(A237),MONTH(A237),1))</f>
        <v/>
      </c>
    </row>
    <row r="238">
      <c r="A238" s="48" t="n"/>
      <c r="B238" s="44" t="n"/>
      <c r="C238" s="45" t="n"/>
      <c r="D238" s="44" t="n"/>
      <c r="E238" s="49">
        <f>IF(A238="","",DATE(YEAR(A238),MONTH(A238),1))</f>
        <v/>
      </c>
    </row>
    <row r="239">
      <c r="A239" s="48" t="n"/>
      <c r="B239" s="44" t="n"/>
      <c r="C239" s="45" t="n"/>
      <c r="D239" s="44" t="n"/>
      <c r="E239" s="49">
        <f>IF(A239="","",DATE(YEAR(A239),MONTH(A239),1))</f>
        <v/>
      </c>
    </row>
    <row r="240">
      <c r="A240" s="48" t="n"/>
      <c r="B240" s="44" t="n"/>
      <c r="C240" s="45" t="n"/>
      <c r="D240" s="44" t="n"/>
      <c r="E240" s="49">
        <f>IF(A240="","",DATE(YEAR(A240),MONTH(A240),1))</f>
        <v/>
      </c>
    </row>
    <row r="241">
      <c r="A241" s="48" t="n"/>
      <c r="B241" s="44" t="n"/>
      <c r="C241" s="45" t="n"/>
      <c r="D241" s="44" t="n"/>
      <c r="E241" s="49">
        <f>IF(A241="","",DATE(YEAR(A241),MONTH(A241),1))</f>
        <v/>
      </c>
    </row>
    <row r="242">
      <c r="A242" s="48" t="n"/>
      <c r="B242" s="44" t="n"/>
      <c r="C242" s="45" t="n"/>
      <c r="D242" s="44" t="n"/>
      <c r="E242" s="49">
        <f>IF(A242="","",DATE(YEAR(A242),MONTH(A242),1))</f>
        <v/>
      </c>
    </row>
    <row r="243">
      <c r="A243" s="48" t="n"/>
      <c r="B243" s="44" t="n"/>
      <c r="C243" s="45" t="n"/>
      <c r="D243" s="44" t="n"/>
      <c r="E243" s="49">
        <f>IF(A243="","",DATE(YEAR(A243),MONTH(A243),1))</f>
        <v/>
      </c>
    </row>
    <row r="244">
      <c r="A244" s="48" t="n"/>
      <c r="B244" s="44" t="n"/>
      <c r="C244" s="45" t="n"/>
      <c r="D244" s="44" t="n"/>
      <c r="E244" s="49">
        <f>IF(A244="","",DATE(YEAR(A244),MONTH(A244),1))</f>
        <v/>
      </c>
    </row>
    <row r="245">
      <c r="A245" s="48" t="n"/>
      <c r="B245" s="44" t="n"/>
      <c r="C245" s="45" t="n"/>
      <c r="D245" s="44" t="n"/>
      <c r="E245" s="49">
        <f>IF(A245="","",DATE(YEAR(A245),MONTH(A245),1))</f>
        <v/>
      </c>
    </row>
    <row r="246">
      <c r="A246" s="48" t="n"/>
      <c r="B246" s="44" t="n"/>
      <c r="C246" s="45" t="n"/>
      <c r="D246" s="44" t="n"/>
      <c r="E246" s="49">
        <f>IF(A246="","",DATE(YEAR(A246),MONTH(A246),1))</f>
        <v/>
      </c>
    </row>
    <row r="247">
      <c r="A247" s="48" t="n"/>
      <c r="B247" s="44" t="n"/>
      <c r="C247" s="45" t="n"/>
      <c r="D247" s="44" t="n"/>
      <c r="E247" s="49">
        <f>IF(A247="","",DATE(YEAR(A247),MONTH(A247),1))</f>
        <v/>
      </c>
    </row>
    <row r="248">
      <c r="A248" s="48" t="n"/>
      <c r="B248" s="44" t="n"/>
      <c r="C248" s="45" t="n"/>
      <c r="D248" s="44" t="n"/>
      <c r="E248" s="49">
        <f>IF(A248="","",DATE(YEAR(A248),MONTH(A248),1))</f>
        <v/>
      </c>
    </row>
    <row r="249">
      <c r="A249" s="48" t="n"/>
      <c r="B249" s="44" t="n"/>
      <c r="C249" s="45" t="n"/>
      <c r="D249" s="44" t="n"/>
      <c r="E249" s="49">
        <f>IF(A249="","",DATE(YEAR(A249),MONTH(A249),1))</f>
        <v/>
      </c>
    </row>
    <row r="250">
      <c r="A250" s="48" t="n"/>
      <c r="B250" s="44" t="n"/>
      <c r="C250" s="45" t="n"/>
      <c r="D250" s="44" t="n"/>
      <c r="E250" s="49">
        <f>IF(A250="","",DATE(YEAR(A250),MONTH(A250),1))</f>
        <v/>
      </c>
    </row>
    <row r="251">
      <c r="A251" s="48" t="n"/>
      <c r="B251" s="44" t="n"/>
      <c r="C251" s="45" t="n"/>
      <c r="D251" s="44" t="n"/>
      <c r="E251" s="49">
        <f>IF(A251="","",DATE(YEAR(A251),MONTH(A251),1))</f>
        <v/>
      </c>
    </row>
    <row r="252">
      <c r="A252" s="48" t="n"/>
      <c r="B252" s="44" t="n"/>
      <c r="C252" s="45" t="n"/>
      <c r="D252" s="44" t="n"/>
      <c r="E252" s="49">
        <f>IF(A252="","",DATE(YEAR(A252),MONTH(A252),1))</f>
        <v/>
      </c>
    </row>
    <row r="253">
      <c r="A253" s="48" t="n"/>
      <c r="B253" s="44" t="n"/>
      <c r="C253" s="45" t="n"/>
      <c r="D253" s="44" t="n"/>
      <c r="E253" s="49">
        <f>IF(A253="","",DATE(YEAR(A253),MONTH(A253),1))</f>
        <v/>
      </c>
    </row>
    <row r="254">
      <c r="A254" s="48" t="n"/>
      <c r="B254" s="44" t="n"/>
      <c r="C254" s="45" t="n"/>
      <c r="D254" s="44" t="n"/>
      <c r="E254" s="49">
        <f>IF(A254="","",DATE(YEAR(A254),MONTH(A254),1))</f>
        <v/>
      </c>
    </row>
    <row r="255">
      <c r="A255" s="48" t="n"/>
      <c r="B255" s="44" t="n"/>
      <c r="C255" s="45" t="n"/>
      <c r="D255" s="44" t="n"/>
      <c r="E255" s="49">
        <f>IF(A255="","",DATE(YEAR(A255),MONTH(A255),1))</f>
        <v/>
      </c>
    </row>
    <row r="256">
      <c r="A256" s="48" t="n"/>
      <c r="B256" s="44" t="n"/>
      <c r="C256" s="45" t="n"/>
      <c r="D256" s="44" t="n"/>
      <c r="E256" s="49">
        <f>IF(A256="","",DATE(YEAR(A256),MONTH(A256),1))</f>
        <v/>
      </c>
    </row>
    <row r="257">
      <c r="A257" s="48" t="n"/>
      <c r="B257" s="44" t="n"/>
      <c r="C257" s="45" t="n"/>
      <c r="D257" s="44" t="n"/>
      <c r="E257" s="49">
        <f>IF(A257="","",DATE(YEAR(A257),MONTH(A257),1))</f>
        <v/>
      </c>
    </row>
    <row r="258">
      <c r="A258" s="48" t="n"/>
      <c r="B258" s="44" t="n"/>
      <c r="C258" s="45" t="n"/>
      <c r="D258" s="44" t="n"/>
      <c r="E258" s="49">
        <f>IF(A258="","",DATE(YEAR(A258),MONTH(A258),1))</f>
        <v/>
      </c>
    </row>
    <row r="259">
      <c r="A259" s="48" t="n"/>
      <c r="B259" s="44" t="n"/>
      <c r="C259" s="45" t="n"/>
      <c r="D259" s="44" t="n"/>
      <c r="E259" s="49">
        <f>IF(A259="","",DATE(YEAR(A259),MONTH(A259),1))</f>
        <v/>
      </c>
    </row>
    <row r="260">
      <c r="A260" s="48" t="n"/>
      <c r="B260" s="44" t="n"/>
      <c r="C260" s="45" t="n"/>
      <c r="D260" s="44" t="n"/>
      <c r="E260" s="49">
        <f>IF(A260="","",DATE(YEAR(A260),MONTH(A260),1))</f>
        <v/>
      </c>
    </row>
    <row r="261">
      <c r="A261" s="48" t="n"/>
      <c r="B261" s="44" t="n"/>
      <c r="C261" s="45" t="n"/>
      <c r="D261" s="44" t="n"/>
      <c r="E261" s="49">
        <f>IF(A261="","",DATE(YEAR(A261),MONTH(A261),1))</f>
        <v/>
      </c>
    </row>
    <row r="262">
      <c r="A262" s="48" t="n"/>
      <c r="B262" s="44" t="n"/>
      <c r="C262" s="45" t="n"/>
      <c r="D262" s="44" t="n"/>
      <c r="E262" s="49">
        <f>IF(A262="","",DATE(YEAR(A262),MONTH(A262),1))</f>
        <v/>
      </c>
    </row>
    <row r="263">
      <c r="A263" s="48" t="n"/>
      <c r="B263" s="44" t="n"/>
      <c r="C263" s="45" t="n"/>
      <c r="D263" s="44" t="n"/>
      <c r="E263" s="49">
        <f>IF(A263="","",DATE(YEAR(A263),MONTH(A263),1))</f>
        <v/>
      </c>
    </row>
    <row r="264">
      <c r="A264" s="48" t="n"/>
      <c r="B264" s="44" t="n"/>
      <c r="C264" s="45" t="n"/>
      <c r="D264" s="44" t="n"/>
      <c r="E264" s="49">
        <f>IF(A264="","",DATE(YEAR(A264),MONTH(A264),1))</f>
        <v/>
      </c>
    </row>
    <row r="265">
      <c r="A265" s="48" t="n"/>
      <c r="B265" s="44" t="n"/>
      <c r="C265" s="45" t="n"/>
      <c r="D265" s="44" t="n"/>
      <c r="E265" s="49">
        <f>IF(A265="","",DATE(YEAR(A265),MONTH(A265),1))</f>
        <v/>
      </c>
    </row>
    <row r="266">
      <c r="A266" s="48" t="n"/>
      <c r="B266" s="44" t="n"/>
      <c r="C266" s="45" t="n"/>
      <c r="D266" s="44" t="n"/>
      <c r="E266" s="49">
        <f>IF(A266="","",DATE(YEAR(A266),MONTH(A266),1))</f>
        <v/>
      </c>
    </row>
    <row r="267">
      <c r="A267" s="48" t="n"/>
      <c r="B267" s="44" t="n"/>
      <c r="C267" s="45" t="n"/>
      <c r="D267" s="44" t="n"/>
      <c r="E267" s="49">
        <f>IF(A267="","",DATE(YEAR(A267),MONTH(A267),1))</f>
        <v/>
      </c>
    </row>
    <row r="268">
      <c r="A268" s="48" t="n"/>
      <c r="B268" s="44" t="n"/>
      <c r="C268" s="45" t="n"/>
      <c r="D268" s="44" t="n"/>
      <c r="E268" s="49">
        <f>IF(A268="","",DATE(YEAR(A268),MONTH(A268),1))</f>
        <v/>
      </c>
    </row>
    <row r="269">
      <c r="A269" s="48" t="n"/>
      <c r="B269" s="44" t="n"/>
      <c r="C269" s="45" t="n"/>
      <c r="D269" s="44" t="n"/>
      <c r="E269" s="49">
        <f>IF(A269="","",DATE(YEAR(A269),MONTH(A269),1))</f>
        <v/>
      </c>
    </row>
    <row r="270">
      <c r="A270" s="48" t="n"/>
      <c r="B270" s="44" t="n"/>
      <c r="C270" s="45" t="n"/>
      <c r="D270" s="44" t="n"/>
      <c r="E270" s="49">
        <f>IF(A270="","",DATE(YEAR(A270),MONTH(A270),1))</f>
        <v/>
      </c>
    </row>
    <row r="271">
      <c r="A271" s="48" t="n"/>
      <c r="B271" s="44" t="n"/>
      <c r="C271" s="45" t="n"/>
      <c r="D271" s="44" t="n"/>
      <c r="E271" s="49">
        <f>IF(A271="","",DATE(YEAR(A271),MONTH(A271),1))</f>
        <v/>
      </c>
    </row>
    <row r="272">
      <c r="A272" s="48" t="n"/>
      <c r="B272" s="44" t="n"/>
      <c r="C272" s="45" t="n"/>
      <c r="D272" s="44" t="n"/>
      <c r="E272" s="49">
        <f>IF(A272="","",DATE(YEAR(A272),MONTH(A272),1))</f>
        <v/>
      </c>
    </row>
    <row r="273">
      <c r="A273" s="48" t="n"/>
      <c r="B273" s="44" t="n"/>
      <c r="C273" s="45" t="n"/>
      <c r="D273" s="44" t="n"/>
      <c r="E273" s="49">
        <f>IF(A273="","",DATE(YEAR(A273),MONTH(A273),1))</f>
        <v/>
      </c>
    </row>
    <row r="274">
      <c r="A274" s="48" t="n"/>
      <c r="B274" s="44" t="n"/>
      <c r="C274" s="45" t="n"/>
      <c r="D274" s="44" t="n"/>
      <c r="E274" s="49">
        <f>IF(A274="","",DATE(YEAR(A274),MONTH(A274),1))</f>
        <v/>
      </c>
    </row>
    <row r="275">
      <c r="A275" s="48" t="n"/>
      <c r="B275" s="44" t="n"/>
      <c r="C275" s="45" t="n"/>
      <c r="D275" s="44" t="n"/>
      <c r="E275" s="49">
        <f>IF(A275="","",DATE(YEAR(A275),MONTH(A275),1))</f>
        <v/>
      </c>
    </row>
    <row r="276">
      <c r="A276" s="48" t="n"/>
      <c r="B276" s="44" t="n"/>
      <c r="C276" s="45" t="n"/>
      <c r="D276" s="44" t="n"/>
      <c r="E276" s="49">
        <f>IF(A276="","",DATE(YEAR(A276),MONTH(A276),1))</f>
        <v/>
      </c>
    </row>
    <row r="277">
      <c r="A277" s="48" t="n"/>
      <c r="B277" s="44" t="n"/>
      <c r="C277" s="45" t="n"/>
      <c r="D277" s="44" t="n"/>
      <c r="E277" s="49">
        <f>IF(A277="","",DATE(YEAR(A277),MONTH(A277),1))</f>
        <v/>
      </c>
    </row>
    <row r="278">
      <c r="A278" s="48" t="n"/>
      <c r="B278" s="44" t="n"/>
      <c r="C278" s="45" t="n"/>
      <c r="D278" s="44" t="n"/>
      <c r="E278" s="49">
        <f>IF(A278="","",DATE(YEAR(A278),MONTH(A278),1))</f>
        <v/>
      </c>
    </row>
    <row r="279">
      <c r="A279" s="48" t="n"/>
      <c r="B279" s="44" t="n"/>
      <c r="C279" s="45" t="n"/>
      <c r="D279" s="44" t="n"/>
      <c r="E279" s="49">
        <f>IF(A279="","",DATE(YEAR(A279),MONTH(A279),1))</f>
        <v/>
      </c>
    </row>
    <row r="280">
      <c r="A280" s="48" t="n"/>
      <c r="B280" s="44" t="n"/>
      <c r="C280" s="45" t="n"/>
      <c r="D280" s="44" t="n"/>
      <c r="E280" s="49">
        <f>IF(A280="","",DATE(YEAR(A280),MONTH(A280),1))</f>
        <v/>
      </c>
    </row>
    <row r="281">
      <c r="A281" s="48" t="n"/>
      <c r="B281" s="44" t="n"/>
      <c r="C281" s="45" t="n"/>
      <c r="D281" s="44" t="n"/>
      <c r="E281" s="49">
        <f>IF(A281="","",DATE(YEAR(A281),MONTH(A281),1))</f>
        <v/>
      </c>
    </row>
    <row r="282">
      <c r="A282" s="48" t="n"/>
      <c r="B282" s="44" t="n"/>
      <c r="C282" s="45" t="n"/>
      <c r="D282" s="44" t="n"/>
      <c r="E282" s="49">
        <f>IF(A282="","",DATE(YEAR(A282),MONTH(A282),1))</f>
        <v/>
      </c>
    </row>
    <row r="283">
      <c r="A283" s="48" t="n"/>
      <c r="B283" s="44" t="n"/>
      <c r="C283" s="45" t="n"/>
      <c r="D283" s="44" t="n"/>
      <c r="E283" s="49">
        <f>IF(A283="","",DATE(YEAR(A283),MONTH(A283),1))</f>
        <v/>
      </c>
    </row>
    <row r="284">
      <c r="A284" s="48" t="n"/>
      <c r="B284" s="44" t="n"/>
      <c r="C284" s="45" t="n"/>
      <c r="D284" s="44" t="n"/>
      <c r="E284" s="49">
        <f>IF(A284="","",DATE(YEAR(A284),MONTH(A284),1))</f>
        <v/>
      </c>
    </row>
    <row r="285">
      <c r="A285" s="48" t="n"/>
      <c r="B285" s="44" t="n"/>
      <c r="C285" s="45" t="n"/>
      <c r="D285" s="44" t="n"/>
      <c r="E285" s="49">
        <f>IF(A285="","",DATE(YEAR(A285),MONTH(A285),1))</f>
        <v/>
      </c>
    </row>
    <row r="286">
      <c r="A286" s="48" t="n"/>
      <c r="B286" s="44" t="n"/>
      <c r="C286" s="45" t="n"/>
      <c r="D286" s="44" t="n"/>
      <c r="E286" s="49">
        <f>IF(A286="","",DATE(YEAR(A286),MONTH(A286),1))</f>
        <v/>
      </c>
    </row>
    <row r="287">
      <c r="A287" s="48" t="n"/>
      <c r="B287" s="44" t="n"/>
      <c r="C287" s="45" t="n"/>
      <c r="D287" s="44" t="n"/>
      <c r="E287" s="49">
        <f>IF(A287="","",DATE(YEAR(A287),MONTH(A287),1))</f>
        <v/>
      </c>
    </row>
    <row r="288">
      <c r="A288" s="48" t="n"/>
      <c r="B288" s="44" t="n"/>
      <c r="C288" s="45" t="n"/>
      <c r="D288" s="44" t="n"/>
      <c r="E288" s="49">
        <f>IF(A288="","",DATE(YEAR(A288),MONTH(A288),1))</f>
        <v/>
      </c>
    </row>
    <row r="289">
      <c r="A289" s="48" t="n"/>
      <c r="B289" s="44" t="n"/>
      <c r="C289" s="45" t="n"/>
      <c r="D289" s="44" t="n"/>
      <c r="E289" s="49">
        <f>IF(A289="","",DATE(YEAR(A289),MONTH(A289),1))</f>
        <v/>
      </c>
    </row>
    <row r="290">
      <c r="A290" s="48" t="n"/>
      <c r="B290" s="44" t="n"/>
      <c r="C290" s="45" t="n"/>
      <c r="D290" s="44" t="n"/>
      <c r="E290" s="49">
        <f>IF(A290="","",DATE(YEAR(A290),MONTH(A290),1))</f>
        <v/>
      </c>
    </row>
    <row r="291">
      <c r="A291" s="48" t="n"/>
      <c r="B291" s="44" t="n"/>
      <c r="C291" s="45" t="n"/>
      <c r="D291" s="44" t="n"/>
      <c r="E291" s="49">
        <f>IF(A291="","",DATE(YEAR(A291),MONTH(A291),1))</f>
        <v/>
      </c>
    </row>
    <row r="292">
      <c r="A292" s="48" t="n"/>
      <c r="B292" s="44" t="n"/>
      <c r="C292" s="45" t="n"/>
      <c r="D292" s="44" t="n"/>
      <c r="E292" s="49">
        <f>IF(A292="","",DATE(YEAR(A292),MONTH(A292),1))</f>
        <v/>
      </c>
    </row>
    <row r="293">
      <c r="A293" s="48" t="n"/>
      <c r="B293" s="44" t="n"/>
      <c r="C293" s="45" t="n"/>
      <c r="D293" s="44" t="n"/>
      <c r="E293" s="49">
        <f>IF(A293="","",DATE(YEAR(A293),MONTH(A293),1))</f>
        <v/>
      </c>
    </row>
    <row r="294">
      <c r="A294" s="48" t="n"/>
      <c r="B294" s="44" t="n"/>
      <c r="C294" s="45" t="n"/>
      <c r="D294" s="44" t="n"/>
      <c r="E294" s="49">
        <f>IF(A294="","",DATE(YEAR(A294),MONTH(A294),1))</f>
        <v/>
      </c>
    </row>
    <row r="295">
      <c r="A295" s="48" t="n"/>
      <c r="B295" s="44" t="n"/>
      <c r="C295" s="45" t="n"/>
      <c r="D295" s="44" t="n"/>
      <c r="E295" s="49">
        <f>IF(A295="","",DATE(YEAR(A295),MONTH(A295),1))</f>
        <v/>
      </c>
    </row>
    <row r="296">
      <c r="A296" s="48" t="n"/>
      <c r="B296" s="44" t="n"/>
      <c r="C296" s="45" t="n"/>
      <c r="D296" s="44" t="n"/>
      <c r="E296" s="49">
        <f>IF(A296="","",DATE(YEAR(A296),MONTH(A296),1))</f>
        <v/>
      </c>
    </row>
    <row r="297">
      <c r="A297" s="48" t="n"/>
      <c r="B297" s="44" t="n"/>
      <c r="C297" s="45" t="n"/>
      <c r="D297" s="44" t="n"/>
      <c r="E297" s="49">
        <f>IF(A297="","",DATE(YEAR(A297),MONTH(A297),1))</f>
        <v/>
      </c>
    </row>
    <row r="298">
      <c r="A298" s="48" t="n"/>
      <c r="B298" s="44" t="n"/>
      <c r="C298" s="45" t="n"/>
      <c r="D298" s="44" t="n"/>
      <c r="E298" s="49">
        <f>IF(A298="","",DATE(YEAR(A298),MONTH(A298),1))</f>
        <v/>
      </c>
    </row>
    <row r="299">
      <c r="A299" s="48" t="n"/>
      <c r="B299" s="44" t="n"/>
      <c r="C299" s="45" t="n"/>
      <c r="D299" s="44" t="n"/>
      <c r="E299" s="49">
        <f>IF(A299="","",DATE(YEAR(A299),MONTH(A299),1))</f>
        <v/>
      </c>
    </row>
    <row r="300">
      <c r="A300" s="48" t="n"/>
      <c r="B300" s="44" t="n"/>
      <c r="C300" s="45" t="n"/>
      <c r="D300" s="44" t="n"/>
      <c r="E300" s="49">
        <f>IF(A300="","",DATE(YEAR(A300),MONTH(A300),1))</f>
        <v/>
      </c>
    </row>
    <row r="301">
      <c r="A301" s="48" t="n"/>
      <c r="B301" s="44" t="n"/>
      <c r="C301" s="45" t="n"/>
      <c r="D301" s="44" t="n"/>
      <c r="E301" s="49">
        <f>IF(A301="","",DATE(YEAR(A301),MONTH(A301),1))</f>
        <v/>
      </c>
    </row>
    <row r="302">
      <c r="A302" s="48" t="n"/>
      <c r="B302" s="44" t="n"/>
      <c r="C302" s="45" t="n"/>
      <c r="D302" s="44" t="n"/>
      <c r="E302" s="49">
        <f>IF(A302="","",DATE(YEAR(A302),MONTH(A302),1))</f>
        <v/>
      </c>
    </row>
    <row r="303">
      <c r="A303" s="48" t="n"/>
      <c r="B303" s="44" t="n"/>
      <c r="C303" s="45" t="n"/>
      <c r="D303" s="44" t="n"/>
      <c r="E303" s="49">
        <f>IF(A303="","",DATE(YEAR(A303),MONTH(A303),1))</f>
        <v/>
      </c>
    </row>
    <row r="304">
      <c r="A304" s="48" t="n"/>
      <c r="B304" s="44" t="n"/>
      <c r="C304" s="45" t="n"/>
      <c r="D304" s="44" t="n"/>
      <c r="E304" s="49">
        <f>IF(A304="","",DATE(YEAR(A304),MONTH(A304),1))</f>
        <v/>
      </c>
    </row>
  </sheetData>
  <autoFilter ref="A4:E304"/>
  <mergeCells count="2">
    <mergeCell ref="A2:E2"/>
    <mergeCell ref="A1:E1"/>
  </mergeCells>
  <dataValidations count="1">
    <dataValidation sqref="B5:B304" showDropDown="0" showInputMessage="0" showErrorMessage="0" allowBlank="1" type="list">
      <formula1>Lista_Destinos</formula1>
    </dataValidation>
  </dataValidation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I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3" customWidth="1" min="8" max="8"/>
    <col width="13" customWidth="1" min="9" max="9"/>
  </cols>
  <sheetData>
    <row r="1" ht="34" customHeight="1">
      <c r="A1" s="1">
        <f>"TENDENCIA "&amp;YEAR(Mes_Analisis)</f>
        <v/>
      </c>
    </row>
    <row r="4" ht="30" customHeight="1">
      <c r="A4" s="15" t="inlineStr">
        <is>
          <t>Mes</t>
        </is>
      </c>
      <c r="B4" s="15" t="inlineStr">
        <is>
          <t>Ingresos</t>
        </is>
      </c>
      <c r="C4" s="15" t="inlineStr">
        <is>
          <t>Gastos de vida</t>
        </is>
      </c>
      <c r="D4" s="15" t="inlineStr">
        <is>
          <t>Abonos a deudas</t>
        </is>
      </c>
      <c r="E4" s="15" t="inlineStr">
        <is>
          <t>Ahorro e inversión</t>
        </is>
      </c>
      <c r="F4" s="15" t="inlineStr">
        <is>
          <t>Disponible</t>
        </is>
      </c>
      <c r="G4" s="15" t="inlineStr">
        <is>
          <t>Ingreso pasivo</t>
        </is>
      </c>
      <c r="H4" s="15" t="inlineStr">
        <is>
          <t>Tasa de ahorro</t>
        </is>
      </c>
      <c r="I4" s="15" t="inlineStr">
        <is>
          <t>Índice libertad</t>
        </is>
      </c>
    </row>
    <row r="5">
      <c r="A5" s="49">
        <f>DATE(YEAR(Mes_Analisis),1,1)</f>
        <v/>
      </c>
      <c r="B5" s="29">
        <f>SUMIFS(Ingresos!$D$5:$D$304,Ingresos!$E$5:$E$304,A5)</f>
        <v/>
      </c>
      <c r="C5" s="29">
        <f>SUMIFS(Gastos!$D$5:$D$1004,Gastos!$H$5:$H$1004,A5)</f>
        <v/>
      </c>
      <c r="D5" s="29">
        <f>SUMIFS('Abonos a Deudas'!$C$5:$C$304,'Abonos a Deudas'!$E$5:$E$304,A5)</f>
        <v/>
      </c>
      <c r="E5" s="29">
        <f>SUMIFS('Ahorro e Inversión'!$C$5:$C$304,'Ahorro e Inversión'!$E$5:$E$304,A5)</f>
        <v/>
      </c>
      <c r="F5" s="29">
        <f>B5-C5-D5-E5</f>
        <v/>
      </c>
      <c r="G5" s="29">
        <f>SUMIFS(Ingresos!$D$5:$D$304,Ingresos!$E$5:$E$304,A5,Ingresos!$B$5:$B$304,"Ingreso pasivo")</f>
        <v/>
      </c>
      <c r="H5" s="26">
        <f>IF(B5=0,0,E5/B5)</f>
        <v/>
      </c>
      <c r="I5" s="26">
        <f>IF(C5=0,0,G5/C5)</f>
        <v/>
      </c>
    </row>
    <row r="6">
      <c r="A6" s="49">
        <f>DATE(YEAR(Mes_Analisis),2,1)</f>
        <v/>
      </c>
      <c r="B6" s="29">
        <f>SUMIFS(Ingresos!$D$5:$D$304,Ingresos!$E$5:$E$304,A6)</f>
        <v/>
      </c>
      <c r="C6" s="29">
        <f>SUMIFS(Gastos!$D$5:$D$1004,Gastos!$H$5:$H$1004,A6)</f>
        <v/>
      </c>
      <c r="D6" s="29">
        <f>SUMIFS('Abonos a Deudas'!$C$5:$C$304,'Abonos a Deudas'!$E$5:$E$304,A6)</f>
        <v/>
      </c>
      <c r="E6" s="29">
        <f>SUMIFS('Ahorro e Inversión'!$C$5:$C$304,'Ahorro e Inversión'!$E$5:$E$304,A6)</f>
        <v/>
      </c>
      <c r="F6" s="29">
        <f>B6-C6-D6-E6</f>
        <v/>
      </c>
      <c r="G6" s="29">
        <f>SUMIFS(Ingresos!$D$5:$D$304,Ingresos!$E$5:$E$304,A6,Ingresos!$B$5:$B$304,"Ingreso pasivo")</f>
        <v/>
      </c>
      <c r="H6" s="26">
        <f>IF(B6=0,0,E6/B6)</f>
        <v/>
      </c>
      <c r="I6" s="26">
        <f>IF(C6=0,0,G6/C6)</f>
        <v/>
      </c>
    </row>
    <row r="7">
      <c r="A7" s="49">
        <f>DATE(YEAR(Mes_Analisis),3,1)</f>
        <v/>
      </c>
      <c r="B7" s="29">
        <f>SUMIFS(Ingresos!$D$5:$D$304,Ingresos!$E$5:$E$304,A7)</f>
        <v/>
      </c>
      <c r="C7" s="29">
        <f>SUMIFS(Gastos!$D$5:$D$1004,Gastos!$H$5:$H$1004,A7)</f>
        <v/>
      </c>
      <c r="D7" s="29">
        <f>SUMIFS('Abonos a Deudas'!$C$5:$C$304,'Abonos a Deudas'!$E$5:$E$304,A7)</f>
        <v/>
      </c>
      <c r="E7" s="29">
        <f>SUMIFS('Ahorro e Inversión'!$C$5:$C$304,'Ahorro e Inversión'!$E$5:$E$304,A7)</f>
        <v/>
      </c>
      <c r="F7" s="29">
        <f>B7-C7-D7-E7</f>
        <v/>
      </c>
      <c r="G7" s="29">
        <f>SUMIFS(Ingresos!$D$5:$D$304,Ingresos!$E$5:$E$304,A7,Ingresos!$B$5:$B$304,"Ingreso pasivo")</f>
        <v/>
      </c>
      <c r="H7" s="26">
        <f>IF(B7=0,0,E7/B7)</f>
        <v/>
      </c>
      <c r="I7" s="26">
        <f>IF(C7=0,0,G7/C7)</f>
        <v/>
      </c>
    </row>
    <row r="8">
      <c r="A8" s="49">
        <f>DATE(YEAR(Mes_Analisis),4,1)</f>
        <v/>
      </c>
      <c r="B8" s="29">
        <f>SUMIFS(Ingresos!$D$5:$D$304,Ingresos!$E$5:$E$304,A8)</f>
        <v/>
      </c>
      <c r="C8" s="29">
        <f>SUMIFS(Gastos!$D$5:$D$1004,Gastos!$H$5:$H$1004,A8)</f>
        <v/>
      </c>
      <c r="D8" s="29">
        <f>SUMIFS('Abonos a Deudas'!$C$5:$C$304,'Abonos a Deudas'!$E$5:$E$304,A8)</f>
        <v/>
      </c>
      <c r="E8" s="29">
        <f>SUMIFS('Ahorro e Inversión'!$C$5:$C$304,'Ahorro e Inversión'!$E$5:$E$304,A8)</f>
        <v/>
      </c>
      <c r="F8" s="29">
        <f>B8-C8-D8-E8</f>
        <v/>
      </c>
      <c r="G8" s="29">
        <f>SUMIFS(Ingresos!$D$5:$D$304,Ingresos!$E$5:$E$304,A8,Ingresos!$B$5:$B$304,"Ingreso pasivo")</f>
        <v/>
      </c>
      <c r="H8" s="26">
        <f>IF(B8=0,0,E8/B8)</f>
        <v/>
      </c>
      <c r="I8" s="26">
        <f>IF(C8=0,0,G8/C8)</f>
        <v/>
      </c>
    </row>
    <row r="9">
      <c r="A9" s="49">
        <f>DATE(YEAR(Mes_Analisis),5,1)</f>
        <v/>
      </c>
      <c r="B9" s="29">
        <f>SUMIFS(Ingresos!$D$5:$D$304,Ingresos!$E$5:$E$304,A9)</f>
        <v/>
      </c>
      <c r="C9" s="29">
        <f>SUMIFS(Gastos!$D$5:$D$1004,Gastos!$H$5:$H$1004,A9)</f>
        <v/>
      </c>
      <c r="D9" s="29">
        <f>SUMIFS('Abonos a Deudas'!$C$5:$C$304,'Abonos a Deudas'!$E$5:$E$304,A9)</f>
        <v/>
      </c>
      <c r="E9" s="29">
        <f>SUMIFS('Ahorro e Inversión'!$C$5:$C$304,'Ahorro e Inversión'!$E$5:$E$304,A9)</f>
        <v/>
      </c>
      <c r="F9" s="29">
        <f>B9-C9-D9-E9</f>
        <v/>
      </c>
      <c r="G9" s="29">
        <f>SUMIFS(Ingresos!$D$5:$D$304,Ingresos!$E$5:$E$304,A9,Ingresos!$B$5:$B$304,"Ingreso pasivo")</f>
        <v/>
      </c>
      <c r="H9" s="26">
        <f>IF(B9=0,0,E9/B9)</f>
        <v/>
      </c>
      <c r="I9" s="26">
        <f>IF(C9=0,0,G9/C9)</f>
        <v/>
      </c>
    </row>
    <row r="10">
      <c r="A10" s="49">
        <f>DATE(YEAR(Mes_Analisis),6,1)</f>
        <v/>
      </c>
      <c r="B10" s="29">
        <f>SUMIFS(Ingresos!$D$5:$D$304,Ingresos!$E$5:$E$304,A10)</f>
        <v/>
      </c>
      <c r="C10" s="29">
        <f>SUMIFS(Gastos!$D$5:$D$1004,Gastos!$H$5:$H$1004,A10)</f>
        <v/>
      </c>
      <c r="D10" s="29">
        <f>SUMIFS('Abonos a Deudas'!$C$5:$C$304,'Abonos a Deudas'!$E$5:$E$304,A10)</f>
        <v/>
      </c>
      <c r="E10" s="29">
        <f>SUMIFS('Ahorro e Inversión'!$C$5:$C$304,'Ahorro e Inversión'!$E$5:$E$304,A10)</f>
        <v/>
      </c>
      <c r="F10" s="29">
        <f>B10-C10-D10-E10</f>
        <v/>
      </c>
      <c r="G10" s="29">
        <f>SUMIFS(Ingresos!$D$5:$D$304,Ingresos!$E$5:$E$304,A10,Ingresos!$B$5:$B$304,"Ingreso pasivo")</f>
        <v/>
      </c>
      <c r="H10" s="26">
        <f>IF(B10=0,0,E10/B10)</f>
        <v/>
      </c>
      <c r="I10" s="26">
        <f>IF(C10=0,0,G10/C10)</f>
        <v/>
      </c>
    </row>
    <row r="11">
      <c r="A11" s="49">
        <f>DATE(YEAR(Mes_Analisis),7,1)</f>
        <v/>
      </c>
      <c r="B11" s="29">
        <f>SUMIFS(Ingresos!$D$5:$D$304,Ingresos!$E$5:$E$304,A11)</f>
        <v/>
      </c>
      <c r="C11" s="29">
        <f>SUMIFS(Gastos!$D$5:$D$1004,Gastos!$H$5:$H$1004,A11)</f>
        <v/>
      </c>
      <c r="D11" s="29">
        <f>SUMIFS('Abonos a Deudas'!$C$5:$C$304,'Abonos a Deudas'!$E$5:$E$304,A11)</f>
        <v/>
      </c>
      <c r="E11" s="29">
        <f>SUMIFS('Ahorro e Inversión'!$C$5:$C$304,'Ahorro e Inversión'!$E$5:$E$304,A11)</f>
        <v/>
      </c>
      <c r="F11" s="29">
        <f>B11-C11-D11-E11</f>
        <v/>
      </c>
      <c r="G11" s="29">
        <f>SUMIFS(Ingresos!$D$5:$D$304,Ingresos!$E$5:$E$304,A11,Ingresos!$B$5:$B$304,"Ingreso pasivo")</f>
        <v/>
      </c>
      <c r="H11" s="26">
        <f>IF(B11=0,0,E11/B11)</f>
        <v/>
      </c>
      <c r="I11" s="26">
        <f>IF(C11=0,0,G11/C11)</f>
        <v/>
      </c>
    </row>
    <row r="12">
      <c r="A12" s="49">
        <f>DATE(YEAR(Mes_Analisis),8,1)</f>
        <v/>
      </c>
      <c r="B12" s="29">
        <f>SUMIFS(Ingresos!$D$5:$D$304,Ingresos!$E$5:$E$304,A12)</f>
        <v/>
      </c>
      <c r="C12" s="29">
        <f>SUMIFS(Gastos!$D$5:$D$1004,Gastos!$H$5:$H$1004,A12)</f>
        <v/>
      </c>
      <c r="D12" s="29">
        <f>SUMIFS('Abonos a Deudas'!$C$5:$C$304,'Abonos a Deudas'!$E$5:$E$304,A12)</f>
        <v/>
      </c>
      <c r="E12" s="29">
        <f>SUMIFS('Ahorro e Inversión'!$C$5:$C$304,'Ahorro e Inversión'!$E$5:$E$304,A12)</f>
        <v/>
      </c>
      <c r="F12" s="29">
        <f>B12-C12-D12-E12</f>
        <v/>
      </c>
      <c r="G12" s="29">
        <f>SUMIFS(Ingresos!$D$5:$D$304,Ingresos!$E$5:$E$304,A12,Ingresos!$B$5:$B$304,"Ingreso pasivo")</f>
        <v/>
      </c>
      <c r="H12" s="26">
        <f>IF(B12=0,0,E12/B12)</f>
        <v/>
      </c>
      <c r="I12" s="26">
        <f>IF(C12=0,0,G12/C12)</f>
        <v/>
      </c>
    </row>
    <row r="13">
      <c r="A13" s="49">
        <f>DATE(YEAR(Mes_Analisis),9,1)</f>
        <v/>
      </c>
      <c r="B13" s="29">
        <f>SUMIFS(Ingresos!$D$5:$D$304,Ingresos!$E$5:$E$304,A13)</f>
        <v/>
      </c>
      <c r="C13" s="29">
        <f>SUMIFS(Gastos!$D$5:$D$1004,Gastos!$H$5:$H$1004,A13)</f>
        <v/>
      </c>
      <c r="D13" s="29">
        <f>SUMIFS('Abonos a Deudas'!$C$5:$C$304,'Abonos a Deudas'!$E$5:$E$304,A13)</f>
        <v/>
      </c>
      <c r="E13" s="29">
        <f>SUMIFS('Ahorro e Inversión'!$C$5:$C$304,'Ahorro e Inversión'!$E$5:$E$304,A13)</f>
        <v/>
      </c>
      <c r="F13" s="29">
        <f>B13-C13-D13-E13</f>
        <v/>
      </c>
      <c r="G13" s="29">
        <f>SUMIFS(Ingresos!$D$5:$D$304,Ingresos!$E$5:$E$304,A13,Ingresos!$B$5:$B$304,"Ingreso pasivo")</f>
        <v/>
      </c>
      <c r="H13" s="26">
        <f>IF(B13=0,0,E13/B13)</f>
        <v/>
      </c>
      <c r="I13" s="26">
        <f>IF(C13=0,0,G13/C13)</f>
        <v/>
      </c>
    </row>
    <row r="14">
      <c r="A14" s="49">
        <f>DATE(YEAR(Mes_Analisis),10,1)</f>
        <v/>
      </c>
      <c r="B14" s="29">
        <f>SUMIFS(Ingresos!$D$5:$D$304,Ingresos!$E$5:$E$304,A14)</f>
        <v/>
      </c>
      <c r="C14" s="29">
        <f>SUMIFS(Gastos!$D$5:$D$1004,Gastos!$H$5:$H$1004,A14)</f>
        <v/>
      </c>
      <c r="D14" s="29">
        <f>SUMIFS('Abonos a Deudas'!$C$5:$C$304,'Abonos a Deudas'!$E$5:$E$304,A14)</f>
        <v/>
      </c>
      <c r="E14" s="29">
        <f>SUMIFS('Ahorro e Inversión'!$C$5:$C$304,'Ahorro e Inversión'!$E$5:$E$304,A14)</f>
        <v/>
      </c>
      <c r="F14" s="29">
        <f>B14-C14-D14-E14</f>
        <v/>
      </c>
      <c r="G14" s="29">
        <f>SUMIFS(Ingresos!$D$5:$D$304,Ingresos!$E$5:$E$304,A14,Ingresos!$B$5:$B$304,"Ingreso pasivo")</f>
        <v/>
      </c>
      <c r="H14" s="26">
        <f>IF(B14=0,0,E14/B14)</f>
        <v/>
      </c>
      <c r="I14" s="26">
        <f>IF(C14=0,0,G14/C14)</f>
        <v/>
      </c>
    </row>
    <row r="15">
      <c r="A15" s="49">
        <f>DATE(YEAR(Mes_Analisis),11,1)</f>
        <v/>
      </c>
      <c r="B15" s="29">
        <f>SUMIFS(Ingresos!$D$5:$D$304,Ingresos!$E$5:$E$304,A15)</f>
        <v/>
      </c>
      <c r="C15" s="29">
        <f>SUMIFS(Gastos!$D$5:$D$1004,Gastos!$H$5:$H$1004,A15)</f>
        <v/>
      </c>
      <c r="D15" s="29">
        <f>SUMIFS('Abonos a Deudas'!$C$5:$C$304,'Abonos a Deudas'!$E$5:$E$304,A15)</f>
        <v/>
      </c>
      <c r="E15" s="29">
        <f>SUMIFS('Ahorro e Inversión'!$C$5:$C$304,'Ahorro e Inversión'!$E$5:$E$304,A15)</f>
        <v/>
      </c>
      <c r="F15" s="29">
        <f>B15-C15-D15-E15</f>
        <v/>
      </c>
      <c r="G15" s="29">
        <f>SUMIFS(Ingresos!$D$5:$D$304,Ingresos!$E$5:$E$304,A15,Ingresos!$B$5:$B$304,"Ingreso pasivo")</f>
        <v/>
      </c>
      <c r="H15" s="26">
        <f>IF(B15=0,0,E15/B15)</f>
        <v/>
      </c>
      <c r="I15" s="26">
        <f>IF(C15=0,0,G15/C15)</f>
        <v/>
      </c>
    </row>
    <row r="16">
      <c r="A16" s="49">
        <f>DATE(YEAR(Mes_Analisis),12,1)</f>
        <v/>
      </c>
      <c r="B16" s="29">
        <f>SUMIFS(Ingresos!$D$5:$D$304,Ingresos!$E$5:$E$304,A16)</f>
        <v/>
      </c>
      <c r="C16" s="29">
        <f>SUMIFS(Gastos!$D$5:$D$1004,Gastos!$H$5:$H$1004,A16)</f>
        <v/>
      </c>
      <c r="D16" s="29">
        <f>SUMIFS('Abonos a Deudas'!$C$5:$C$304,'Abonos a Deudas'!$E$5:$E$304,A16)</f>
        <v/>
      </c>
      <c r="E16" s="29">
        <f>SUMIFS('Ahorro e Inversión'!$C$5:$C$304,'Ahorro e Inversión'!$E$5:$E$304,A16)</f>
        <v/>
      </c>
      <c r="F16" s="29">
        <f>B16-C16-D16-E16</f>
        <v/>
      </c>
      <c r="G16" s="29">
        <f>SUMIFS(Ingresos!$D$5:$D$304,Ingresos!$E$5:$E$304,A16,Ingresos!$B$5:$B$304,"Ingreso pasivo")</f>
        <v/>
      </c>
      <c r="H16" s="26">
        <f>IF(B16=0,0,E16/B16)</f>
        <v/>
      </c>
      <c r="I16" s="26">
        <f>IF(C16=0,0,G16/C16)</f>
        <v/>
      </c>
    </row>
    <row r="17">
      <c r="A17" s="19" t="inlineStr">
        <is>
          <t>Total</t>
        </is>
      </c>
      <c r="B17" s="21">
        <f>SUM(B5:B16)</f>
        <v/>
      </c>
      <c r="C17" s="21">
        <f>SUM(C5:C16)</f>
        <v/>
      </c>
      <c r="D17" s="21">
        <f>SUM(D5:D16)</f>
        <v/>
      </c>
      <c r="E17" s="21">
        <f>SUM(E5:E16)</f>
        <v/>
      </c>
      <c r="F17" s="21">
        <f>SUM(F5:F16)</f>
        <v/>
      </c>
      <c r="G17" s="21">
        <f>SUM(G5:G16)</f>
        <v/>
      </c>
      <c r="H17" s="61">
        <f>IF(B17=0,0,E17/B17)</f>
        <v/>
      </c>
      <c r="I17" s="61">
        <f>IF(C17=0,0,G17/C17)</f>
        <v/>
      </c>
    </row>
  </sheetData>
  <mergeCells count="1">
    <mergeCell ref="A1:I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D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70" customWidth="1" min="3" max="3"/>
    <col width="3" customWidth="1" min="4" max="4"/>
  </cols>
  <sheetData>
    <row r="1" ht="34" customHeight="1">
      <c r="A1" s="1" t="inlineStr">
        <is>
          <t>PRINCIPIOS QUE GUÍAN ESTA PLANTILLA</t>
        </is>
      </c>
    </row>
    <row r="2">
      <c r="A2" s="2" t="inlineStr">
        <is>
          <t>Inspirados en 'El hombre más rico de Babilonia' (G. S. Clason) y 'Padre Rico, Padre Pobre' (R. Kiyosaki)</t>
        </is>
      </c>
    </row>
    <row r="4" ht="30" customHeight="1">
      <c r="B4" s="15" t="inlineStr">
        <is>
          <t>Principio</t>
        </is>
      </c>
      <c r="C4" s="15" t="inlineStr">
        <is>
          <t>Cómo lo aplica tu plantilla</t>
        </is>
      </c>
    </row>
    <row r="5" ht="30" customHeight="1">
      <c r="B5" s="62" t="inlineStr">
        <is>
          <t>Babilonia · 1ª cura: Empieza a engordar tu bolsa</t>
        </is>
      </c>
      <c r="C5" s="63" t="inlineStr">
        <is>
          <t>Págate primero: al menos 10% de cada ingreso va a Ahorro e Inversión ANTES de gastar.</t>
        </is>
      </c>
    </row>
    <row r="6" ht="30" customHeight="1">
      <c r="B6" s="62" t="inlineStr">
        <is>
          <t>Babilonia · 2ª cura: Controla tus gastos</t>
        </is>
      </c>
      <c r="C6" s="63" t="inlineStr">
        <is>
          <t>Presupuesto por categoría y por periodo (día/semana) con semáforo. Distingue necesidades de deseos.</t>
        </is>
      </c>
    </row>
    <row r="7" ht="30" customHeight="1">
      <c r="B7" s="62" t="inlineStr">
        <is>
          <t>Babilonia · 3ª cura: Haz que tu oro se multiplique</t>
        </is>
      </c>
      <c r="C7" s="63" t="inlineStr">
        <is>
          <t>El ahorro no se queda quieto: registra inversiones y el ingreso pasivo que generan.</t>
        </is>
      </c>
    </row>
    <row r="8" ht="30" customHeight="1">
      <c r="B8" s="62" t="inlineStr">
        <is>
          <t>Babilonia · 4ª cura: Protege tus tesoros de la pérdida</t>
        </is>
      </c>
      <c r="C8" s="63" t="inlineStr">
        <is>
          <t>Fondo de emergencia con meta en meses de gastos antes de inversiones de riesgo.</t>
        </is>
      </c>
    </row>
    <row r="9" ht="30" customHeight="1">
      <c r="B9" s="62" t="inlineStr">
        <is>
          <t>Babilonia · 5ª cura: Haz de tu vivienda una inversión rentable</t>
        </is>
      </c>
      <c r="C9" s="63" t="inlineStr">
        <is>
          <t>Categoría Vivienda con presupuesto; registra si tu vivienda te genera rentas.</t>
        </is>
      </c>
    </row>
    <row r="10" ht="30" customHeight="1">
      <c r="B10" s="62" t="inlineStr">
        <is>
          <t>Babilonia · 6ª cura: Asegura un ingreso para el futuro</t>
        </is>
      </c>
      <c r="C10" s="63" t="inlineStr">
        <is>
          <t>Índice de libertad financiera: ingreso pasivo ÷ gastos de vida.</t>
        </is>
      </c>
    </row>
    <row r="11" ht="30" customHeight="1">
      <c r="B11" s="62" t="inlineStr">
        <is>
          <t>Babilonia · 7ª cura: Aumenta tu habilidad para ganar</t>
        </is>
      </c>
      <c r="C11" s="63" t="inlineStr">
        <is>
          <t>Categoría 'Educación financiera' dentro de Ahorro e Inversión.</t>
        </is>
      </c>
    </row>
    <row r="12" ht="30" customHeight="1">
      <c r="B12" s="62" t="inlineStr">
        <is>
          <t>Babilonia · Las deudas: 20% para pagarlas</t>
        </is>
      </c>
      <c r="C12" s="63" t="inlineStr">
        <is>
          <t>Regla de Arkad adaptada: 10% ahorro, 20% deudas, 70% para vivir. El plan de deudas usa ese 20%.</t>
        </is>
      </c>
    </row>
    <row r="13" ht="30" customHeight="1">
      <c r="B13" s="62" t="inlineStr">
        <is>
          <t>Padre Rico · Los ricos compran activos</t>
        </is>
      </c>
      <c r="C13" s="63" t="inlineStr">
        <is>
          <t>Un activo pone dinero en tu bolsillo; un pasivo lo saca. Cada ingreso pasivo cuenta en tu tablero.</t>
        </is>
      </c>
    </row>
    <row r="14" ht="30" customHeight="1">
      <c r="B14" s="62" t="inlineStr">
        <is>
          <t>Padre Rico · Págate a ti primero</t>
        </is>
      </c>
      <c r="C14" s="63" t="inlineStr">
        <is>
          <t>La columna 'Real' de ahorro se compara contra la meta del mes.</t>
        </is>
      </c>
    </row>
    <row r="15" ht="30" customHeight="1">
      <c r="B15" s="62" t="inlineStr">
        <is>
          <t>Padre Rico · Aprende a leer tus números</t>
        </is>
      </c>
      <c r="C15" s="63" t="inlineStr">
        <is>
          <t>El Resumen es tu estado financiero personal: ingresos, gastos, activos y pasivos.</t>
        </is>
      </c>
    </row>
    <row r="16" ht="30" customHeight="1">
      <c r="B16" s="62" t="inlineStr">
        <is>
          <t>Padre Rico · Las deudas malas pagan los lujos</t>
        </is>
      </c>
      <c r="C16" s="63" t="inlineStr">
        <is>
          <t>Las tarjetas de crédito con intereses van primero: método avalancha (tasa más alta primero).</t>
        </is>
      </c>
    </row>
    <row r="17" ht="30" customHeight="1">
      <c r="B17" s="62" t="inlineStr">
        <is>
          <t>Padre Rico · No trabajes por dinero, haz que el dinero trabaje para ti</t>
        </is>
      </c>
      <c r="C17" s="63" t="inlineStr">
        <is>
          <t>Meta final: que el ingreso pasivo cubra el 100% de tus gastos de vida.</t>
        </is>
      </c>
    </row>
    <row r="18" ht="30" customHeight="1">
      <c r="B18" s="62" t="inlineStr">
        <is>
          <t>Préstamos familiares sin intereses</t>
        </is>
      </c>
      <c r="C18" s="63" t="inlineStr">
        <is>
          <t>Se pagan en segundo plano, del saldo más pequeño al más grande (bola de nieve), para cumplir tu palabra sin descuidar las deudas caras.</t>
        </is>
      </c>
    </row>
    <row r="21" ht="30" customHeight="1">
      <c r="B21" s="15" t="inlineStr">
        <is>
          <t>Frase del día (se muestra en el Resumen)</t>
        </is>
      </c>
      <c r="C21" s="15" t="inlineStr">
        <is>
          <t>Fuente</t>
        </is>
      </c>
    </row>
    <row r="22" ht="28" customHeight="1">
      <c r="B22" s="64" t="inlineStr">
        <is>
          <t>Una parte de todo lo que ganas es tuya para conservarla.</t>
        </is>
      </c>
      <c r="C22" s="65" t="inlineStr">
        <is>
          <t>El hombre más rico de Babilonia</t>
        </is>
      </c>
    </row>
    <row r="23" ht="28" customHeight="1">
      <c r="B23" s="64" t="inlineStr">
        <is>
          <t>Paga primero a ti mismo, después a los demás.</t>
        </is>
      </c>
      <c r="C23" s="65" t="inlineStr">
        <is>
          <t>Padre Rico, Padre Pobre</t>
        </is>
      </c>
    </row>
    <row r="24" ht="28" customHeight="1">
      <c r="B24" s="64" t="inlineStr">
        <is>
          <t>Lo que llamamos 'gastos necesarios' siempre crece hasta igualar nuestros ingresos, a menos que lo impidamos.</t>
        </is>
      </c>
      <c r="C24" s="65" t="inlineStr">
        <is>
          <t>El hombre más rico de Babilonia</t>
        </is>
      </c>
    </row>
    <row r="25" ht="28" customHeight="1">
      <c r="B25" s="64" t="inlineStr">
        <is>
          <t>Los ricos compran activos; los pobres y la clase media compran pasivos creyendo que son activos.</t>
        </is>
      </c>
      <c r="C25" s="65" t="inlineStr">
        <is>
          <t>Padre Rico, Padre Pobre</t>
        </is>
      </c>
    </row>
    <row r="26" ht="28" customHeight="1">
      <c r="B26" s="64" t="inlineStr">
        <is>
          <t>Donde hay determinación, hay un camino.</t>
        </is>
      </c>
      <c r="C26" s="65" t="inlineStr">
        <is>
          <t>El hombre más rico de Babilonia</t>
        </is>
      </c>
    </row>
    <row r="27" ht="28" customHeight="1">
      <c r="B27" s="64" t="inlineStr">
        <is>
          <t>No es cuánto dinero ganas, sino cuánto dinero conservas.</t>
        </is>
      </c>
      <c r="C27" s="65" t="inlineStr">
        <is>
          <t>Padre Rico, Padre Pobre</t>
        </is>
      </c>
    </row>
    <row r="28" ht="28" customHeight="1">
      <c r="B28" s="64" t="inlineStr">
        <is>
          <t>Cada moneda ahorrada es un esclavo que trabajará para ti.</t>
        </is>
      </c>
      <c r="C28" s="65" t="inlineStr">
        <is>
          <t>El hombre más rico de Babilonia</t>
        </is>
      </c>
    </row>
    <row r="29" ht="28" customHeight="1">
      <c r="B29" s="64" t="inlineStr">
        <is>
          <t>La educación financiera vale más que el dinero.</t>
        </is>
      </c>
      <c r="C29" s="65" t="inlineStr">
        <is>
          <t>Padre Rico, Padre Pobre</t>
        </is>
      </c>
    </row>
    <row r="30" ht="28" customHeight="1">
      <c r="B30" s="64" t="inlineStr">
        <is>
          <t>Un hombre honrado paga sus deudas: destina una parte fija de tus ingresos a ellas.</t>
        </is>
      </c>
      <c r="C30" s="65" t="inlineStr">
        <is>
          <t>El hombre más rico de Babilonia</t>
        </is>
      </c>
    </row>
    <row r="31" ht="28" customHeight="1">
      <c r="B31" s="64" t="inlineStr">
        <is>
          <t>Tu casa no es un activo si saca dinero de tu bolsillo.</t>
        </is>
      </c>
      <c r="C31" s="65" t="inlineStr">
        <is>
          <t>Padre Rico, Padre Pobre</t>
        </is>
      </c>
    </row>
    <row r="32" ht="28" customHeight="1">
      <c r="B32" s="64" t="inlineStr">
        <is>
          <t>Protege tu tesoro: invierte solo donde el capital esté seguro.</t>
        </is>
      </c>
      <c r="C32" s="65" t="inlineStr">
        <is>
          <t>El hombre más rico de Babilonia</t>
        </is>
      </c>
    </row>
    <row r="33" ht="28" customHeight="1">
      <c r="B33" s="64" t="inlineStr">
        <is>
          <t>El dinero va y viene; aprender cómo funciona es lo que te hace rico.</t>
        </is>
      </c>
      <c r="C33" s="65" t="inlineStr">
        <is>
          <t>Padre Rico, Padre Pobre</t>
        </is>
      </c>
    </row>
    <row r="34" ht="28" customHeight="1">
      <c r="B34" s="64" t="inlineStr">
        <is>
          <t>La buena suerte llega a quien aprovecha las oportunidades.</t>
        </is>
      </c>
      <c r="C34" s="65" t="inlineStr">
        <is>
          <t>El hombre más rico de Babilonia</t>
        </is>
      </c>
    </row>
    <row r="35" ht="28" customHeight="1">
      <c r="B35" s="64" t="inlineStr">
        <is>
          <t>Haz que el dinero trabaje para ti.</t>
        </is>
      </c>
      <c r="C35" s="65" t="inlineStr">
        <is>
          <t>Padre Rico, Padre Pobre</t>
        </is>
      </c>
    </row>
    <row r="36" ht="28" customHeight="1">
      <c r="B36" s="64" t="inlineStr">
        <is>
          <t>Hoy es el mejor día para empezar a engordar tu bolsa.</t>
        </is>
      </c>
      <c r="C36" s="65" t="inlineStr">
        <is>
          <t>El hombre más rico de Babilonia</t>
        </is>
      </c>
    </row>
    <row r="38">
      <c r="B38" s="35" t="inlineStr">
        <is>
          <t>Frases parafraseadas de las obras citadas, con fines motivacionales.</t>
        </is>
      </c>
    </row>
  </sheetData>
  <mergeCells count="2">
    <mergeCell ref="A1:D1"/>
    <mergeCell ref="A2:D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2026-09-24T16:53:25Z</dcterms:created>
  <dcterms:modified xsi:type="dcterms:W3CDTF">2026-09-24T16:53:26Z</dcterms:modified>
</cp:coreProperties>
</file>